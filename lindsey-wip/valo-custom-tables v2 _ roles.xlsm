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/>
  </bookViews>
  <sheets>
    <sheet name="Data" sheetId="4" r:id="rId1"/>
    <sheet name="Roles" sheetId="11" r:id="rId2"/>
    <sheet name="Teammate Synergy" sheetId="3" r:id="rId3"/>
    <sheet name="Matchups" sheetId="6" r:id="rId4"/>
    <sheet name="Map_old" sheetId="5" state="hidden" r:id="rId5"/>
    <sheet name="Individual_old" sheetId="1" r:id="rId6"/>
    <sheet name="Individual Time" sheetId="7" r:id="rId7"/>
    <sheet name="Map" sheetId="9" r:id="rId8"/>
    <sheet name="Last Updated" sheetId="10" r:id="rId9"/>
  </sheets>
  <definedNames>
    <definedName name="_xlnm._FilterDatabase" localSheetId="0" hidden="1">Data!$H$443:$L$443</definedName>
    <definedName name="_xlnm._FilterDatabase" localSheetId="5" hidden="1">#REF!</definedName>
    <definedName name="_xlnm._FilterDatabase" localSheetId="2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2" i="4" l="1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21" i="4"/>
  <c r="C481" i="4" l="1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Q481" i="4"/>
  <c r="R481" i="4"/>
  <c r="S481" i="4"/>
  <c r="T481" i="4"/>
  <c r="U481" i="4"/>
  <c r="B481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Q462" i="4"/>
  <c r="R462" i="4"/>
  <c r="S462" i="4"/>
  <c r="T462" i="4"/>
  <c r="U462" i="4"/>
  <c r="B462" i="4"/>
  <c r="U465" i="4" l="1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Q466" i="4"/>
  <c r="R466" i="4"/>
  <c r="S466" i="4"/>
  <c r="T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Q467" i="4"/>
  <c r="R467" i="4"/>
  <c r="S467" i="4"/>
  <c r="T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Q468" i="4"/>
  <c r="R468" i="4"/>
  <c r="S468" i="4"/>
  <c r="T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Q469" i="4"/>
  <c r="R469" i="4"/>
  <c r="S469" i="4"/>
  <c r="T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Q470" i="4"/>
  <c r="R470" i="4"/>
  <c r="S470" i="4"/>
  <c r="T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Q471" i="4"/>
  <c r="R471" i="4"/>
  <c r="S471" i="4"/>
  <c r="T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Q472" i="4"/>
  <c r="R472" i="4"/>
  <c r="S472" i="4"/>
  <c r="T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Q473" i="4"/>
  <c r="R473" i="4"/>
  <c r="S473" i="4"/>
  <c r="T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Q474" i="4"/>
  <c r="R474" i="4"/>
  <c r="S474" i="4"/>
  <c r="T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Q475" i="4"/>
  <c r="R475" i="4"/>
  <c r="S475" i="4"/>
  <c r="T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Q476" i="4"/>
  <c r="R476" i="4"/>
  <c r="S476" i="4"/>
  <c r="T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Q477" i="4"/>
  <c r="R477" i="4"/>
  <c r="S477" i="4"/>
  <c r="T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Q478" i="4"/>
  <c r="R478" i="4"/>
  <c r="S478" i="4"/>
  <c r="T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Q479" i="4"/>
  <c r="R479" i="4"/>
  <c r="S479" i="4"/>
  <c r="T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Q480" i="4"/>
  <c r="R480" i="4"/>
  <c r="S480" i="4"/>
  <c r="T480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Q465" i="4"/>
  <c r="R465" i="4"/>
  <c r="S465" i="4"/>
  <c r="T465" i="4"/>
  <c r="C465" i="4"/>
  <c r="B465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46" i="4"/>
  <c r="C417" i="4" l="1"/>
  <c r="D417" i="4"/>
  <c r="E417" i="4"/>
  <c r="B417" i="4"/>
  <c r="E259" i="4" l="1"/>
  <c r="E239" i="4"/>
  <c r="Q216" i="4" l="1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210" i="4"/>
  <c r="P210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C210" i="4"/>
  <c r="B210" i="4"/>
  <c r="Q209" i="4"/>
  <c r="P209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C209" i="4"/>
  <c r="B209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C208" i="4"/>
  <c r="B208" i="4"/>
  <c r="Q207" i="4"/>
  <c r="P207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C207" i="4"/>
  <c r="B207" i="4"/>
  <c r="Q206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36" i="4"/>
  <c r="P236" i="4"/>
  <c r="O236" i="4"/>
  <c r="N236" i="4"/>
  <c r="M236" i="4"/>
  <c r="L236" i="4"/>
  <c r="K236" i="4"/>
  <c r="J236" i="4"/>
  <c r="I236" i="4"/>
  <c r="H236" i="4"/>
  <c r="G236" i="4"/>
  <c r="F236" i="4"/>
  <c r="E236" i="4"/>
  <c r="D236" i="4"/>
  <c r="C236" i="4"/>
  <c r="B236" i="4"/>
  <c r="Q235" i="4"/>
  <c r="P235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C235" i="4"/>
  <c r="B235" i="4"/>
  <c r="Q234" i="4"/>
  <c r="P234" i="4"/>
  <c r="O234" i="4"/>
  <c r="N234" i="4"/>
  <c r="M234" i="4"/>
  <c r="L234" i="4"/>
  <c r="K234" i="4"/>
  <c r="J234" i="4"/>
  <c r="I234" i="4"/>
  <c r="H234" i="4"/>
  <c r="G234" i="4"/>
  <c r="F234" i="4"/>
  <c r="E234" i="4"/>
  <c r="D234" i="4"/>
  <c r="C234" i="4"/>
  <c r="B234" i="4"/>
  <c r="Q233" i="4"/>
  <c r="P233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C233" i="4"/>
  <c r="B233" i="4"/>
  <c r="Q232" i="4"/>
  <c r="P232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C232" i="4"/>
  <c r="B232" i="4"/>
  <c r="Q231" i="4"/>
  <c r="P231" i="4"/>
  <c r="O231" i="4"/>
  <c r="N231" i="4"/>
  <c r="M231" i="4"/>
  <c r="L231" i="4"/>
  <c r="K231" i="4"/>
  <c r="J231" i="4"/>
  <c r="I231" i="4"/>
  <c r="H231" i="4"/>
  <c r="G231" i="4"/>
  <c r="F231" i="4"/>
  <c r="E231" i="4"/>
  <c r="D231" i="4"/>
  <c r="C231" i="4"/>
  <c r="B231" i="4"/>
  <c r="Q230" i="4"/>
  <c r="P230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C230" i="4"/>
  <c r="B230" i="4"/>
  <c r="Q229" i="4"/>
  <c r="P229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C229" i="4"/>
  <c r="B229" i="4"/>
  <c r="Q228" i="4"/>
  <c r="P228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C228" i="4"/>
  <c r="B228" i="4"/>
  <c r="Q227" i="4"/>
  <c r="P227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C227" i="4"/>
  <c r="B227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103" i="4"/>
  <c r="Q143" i="4" s="1"/>
  <c r="P103" i="4"/>
  <c r="P143" i="4" s="1"/>
  <c r="O103" i="4"/>
  <c r="O143" i="4" s="1"/>
  <c r="N103" i="4"/>
  <c r="N143" i="4" s="1"/>
  <c r="M103" i="4"/>
  <c r="M143" i="4" s="1"/>
  <c r="L103" i="4"/>
  <c r="L143" i="4" s="1"/>
  <c r="K103" i="4"/>
  <c r="K143" i="4" s="1"/>
  <c r="J103" i="4"/>
  <c r="J143" i="4" s="1"/>
  <c r="I103" i="4"/>
  <c r="I123" i="4" s="1"/>
  <c r="H103" i="4"/>
  <c r="H123" i="4" s="1"/>
  <c r="G103" i="4"/>
  <c r="G123" i="4" s="1"/>
  <c r="F103" i="4"/>
  <c r="F123" i="4" s="1"/>
  <c r="E103" i="4"/>
  <c r="E143" i="4" s="1"/>
  <c r="D103" i="4"/>
  <c r="D143" i="4" s="1"/>
  <c r="C103" i="4"/>
  <c r="C143" i="4" s="1"/>
  <c r="B103" i="4"/>
  <c r="B143" i="4" s="1"/>
  <c r="Q102" i="4"/>
  <c r="Q142" i="4" s="1"/>
  <c r="P102" i="4"/>
  <c r="P142" i="4" s="1"/>
  <c r="O102" i="4"/>
  <c r="O142" i="4" s="1"/>
  <c r="N102" i="4"/>
  <c r="N142" i="4" s="1"/>
  <c r="M102" i="4"/>
  <c r="M122" i="4" s="1"/>
  <c r="L102" i="4"/>
  <c r="L122" i="4" s="1"/>
  <c r="K102" i="4"/>
  <c r="K122" i="4" s="1"/>
  <c r="J102" i="4"/>
  <c r="J122" i="4" s="1"/>
  <c r="I102" i="4"/>
  <c r="I142" i="4" s="1"/>
  <c r="H102" i="4"/>
  <c r="H142" i="4" s="1"/>
  <c r="G102" i="4"/>
  <c r="G142" i="4" s="1"/>
  <c r="F102" i="4"/>
  <c r="F142" i="4" s="1"/>
  <c r="E102" i="4"/>
  <c r="E142" i="4" s="1"/>
  <c r="D102" i="4"/>
  <c r="D142" i="4" s="1"/>
  <c r="C102" i="4"/>
  <c r="C142" i="4" s="1"/>
  <c r="B102" i="4"/>
  <c r="B142" i="4" s="1"/>
  <c r="Q101" i="4"/>
  <c r="Q121" i="4" s="1"/>
  <c r="P101" i="4"/>
  <c r="P121" i="4" s="1"/>
  <c r="O101" i="4"/>
  <c r="O121" i="4" s="1"/>
  <c r="N101" i="4"/>
  <c r="N121" i="4" s="1"/>
  <c r="M101" i="4"/>
  <c r="M141" i="4" s="1"/>
  <c r="L101" i="4"/>
  <c r="L141" i="4" s="1"/>
  <c r="K101" i="4"/>
  <c r="K141" i="4" s="1"/>
  <c r="J101" i="4"/>
  <c r="J141" i="4" s="1"/>
  <c r="I101" i="4"/>
  <c r="I141" i="4" s="1"/>
  <c r="H101" i="4"/>
  <c r="H141" i="4" s="1"/>
  <c r="G101" i="4"/>
  <c r="G141" i="4" s="1"/>
  <c r="F101" i="4"/>
  <c r="F141" i="4" s="1"/>
  <c r="E101" i="4"/>
  <c r="E121" i="4" s="1"/>
  <c r="D101" i="4"/>
  <c r="D121" i="4" s="1"/>
  <c r="C101" i="4"/>
  <c r="C121" i="4" s="1"/>
  <c r="B101" i="4"/>
  <c r="B121" i="4" s="1"/>
  <c r="Q100" i="4"/>
  <c r="Q140" i="4" s="1"/>
  <c r="P100" i="4"/>
  <c r="P140" i="4" s="1"/>
  <c r="O100" i="4"/>
  <c r="O140" i="4" s="1"/>
  <c r="N100" i="4"/>
  <c r="N140" i="4" s="1"/>
  <c r="M100" i="4"/>
  <c r="M140" i="4" s="1"/>
  <c r="L100" i="4"/>
  <c r="L140" i="4" s="1"/>
  <c r="K100" i="4"/>
  <c r="K140" i="4" s="1"/>
  <c r="J100" i="4"/>
  <c r="J140" i="4" s="1"/>
  <c r="I100" i="4"/>
  <c r="I120" i="4" s="1"/>
  <c r="H100" i="4"/>
  <c r="H120" i="4" s="1"/>
  <c r="G100" i="4"/>
  <c r="G120" i="4" s="1"/>
  <c r="F100" i="4"/>
  <c r="F120" i="4" s="1"/>
  <c r="E100" i="4"/>
  <c r="E140" i="4" s="1"/>
  <c r="D100" i="4"/>
  <c r="D140" i="4" s="1"/>
  <c r="C100" i="4"/>
  <c r="C140" i="4" s="1"/>
  <c r="B100" i="4"/>
  <c r="B140" i="4" s="1"/>
  <c r="Q99" i="4"/>
  <c r="Q139" i="4" s="1"/>
  <c r="P99" i="4"/>
  <c r="P139" i="4" s="1"/>
  <c r="O99" i="4"/>
  <c r="O139" i="4" s="1"/>
  <c r="N99" i="4"/>
  <c r="N139" i="4" s="1"/>
  <c r="M99" i="4"/>
  <c r="M119" i="4" s="1"/>
  <c r="L99" i="4"/>
  <c r="L119" i="4" s="1"/>
  <c r="K99" i="4"/>
  <c r="K119" i="4" s="1"/>
  <c r="J99" i="4"/>
  <c r="J119" i="4" s="1"/>
  <c r="I99" i="4"/>
  <c r="I139" i="4" s="1"/>
  <c r="H99" i="4"/>
  <c r="H139" i="4" s="1"/>
  <c r="G99" i="4"/>
  <c r="G139" i="4" s="1"/>
  <c r="F99" i="4"/>
  <c r="F139" i="4" s="1"/>
  <c r="E99" i="4"/>
  <c r="E139" i="4" s="1"/>
  <c r="D99" i="4"/>
  <c r="D139" i="4" s="1"/>
  <c r="C99" i="4"/>
  <c r="C139" i="4" s="1"/>
  <c r="B99" i="4"/>
  <c r="B139" i="4" s="1"/>
  <c r="Q98" i="4"/>
  <c r="Q118" i="4" s="1"/>
  <c r="P98" i="4"/>
  <c r="P118" i="4" s="1"/>
  <c r="O98" i="4"/>
  <c r="O118" i="4" s="1"/>
  <c r="N98" i="4"/>
  <c r="N118" i="4" s="1"/>
  <c r="M98" i="4"/>
  <c r="M138" i="4" s="1"/>
  <c r="L98" i="4"/>
  <c r="L138" i="4" s="1"/>
  <c r="K98" i="4"/>
  <c r="K138" i="4" s="1"/>
  <c r="J98" i="4"/>
  <c r="J138" i="4" s="1"/>
  <c r="I98" i="4"/>
  <c r="I138" i="4" s="1"/>
  <c r="H98" i="4"/>
  <c r="H138" i="4" s="1"/>
  <c r="G98" i="4"/>
  <c r="G138" i="4" s="1"/>
  <c r="F98" i="4"/>
  <c r="F138" i="4" s="1"/>
  <c r="E98" i="4"/>
  <c r="E118" i="4" s="1"/>
  <c r="D98" i="4"/>
  <c r="D118" i="4" s="1"/>
  <c r="C98" i="4"/>
  <c r="C118" i="4" s="1"/>
  <c r="B98" i="4"/>
  <c r="B118" i="4" s="1"/>
  <c r="Q97" i="4"/>
  <c r="Q137" i="4" s="1"/>
  <c r="P97" i="4"/>
  <c r="P137" i="4" s="1"/>
  <c r="O97" i="4"/>
  <c r="O137" i="4" s="1"/>
  <c r="N97" i="4"/>
  <c r="N137" i="4" s="1"/>
  <c r="M97" i="4"/>
  <c r="M137" i="4" s="1"/>
  <c r="L97" i="4"/>
  <c r="L137" i="4" s="1"/>
  <c r="K97" i="4"/>
  <c r="K137" i="4" s="1"/>
  <c r="J97" i="4"/>
  <c r="J137" i="4" s="1"/>
  <c r="I97" i="4"/>
  <c r="I117" i="4" s="1"/>
  <c r="H97" i="4"/>
  <c r="H117" i="4" s="1"/>
  <c r="G97" i="4"/>
  <c r="G117" i="4" s="1"/>
  <c r="F97" i="4"/>
  <c r="F117" i="4" s="1"/>
  <c r="E97" i="4"/>
  <c r="E137" i="4" s="1"/>
  <c r="D97" i="4"/>
  <c r="D137" i="4" s="1"/>
  <c r="C97" i="4"/>
  <c r="C137" i="4" s="1"/>
  <c r="B97" i="4"/>
  <c r="B137" i="4" s="1"/>
  <c r="Q96" i="4"/>
  <c r="Q136" i="4" s="1"/>
  <c r="P96" i="4"/>
  <c r="P136" i="4" s="1"/>
  <c r="O96" i="4"/>
  <c r="O136" i="4" s="1"/>
  <c r="N96" i="4"/>
  <c r="N136" i="4" s="1"/>
  <c r="M96" i="4"/>
  <c r="M116" i="4" s="1"/>
  <c r="L96" i="4"/>
  <c r="L116" i="4" s="1"/>
  <c r="K96" i="4"/>
  <c r="K116" i="4" s="1"/>
  <c r="J96" i="4"/>
  <c r="J116" i="4" s="1"/>
  <c r="I96" i="4"/>
  <c r="I136" i="4" s="1"/>
  <c r="H96" i="4"/>
  <c r="H136" i="4" s="1"/>
  <c r="G96" i="4"/>
  <c r="G136" i="4" s="1"/>
  <c r="F96" i="4"/>
  <c r="F136" i="4" s="1"/>
  <c r="E96" i="4"/>
  <c r="E136" i="4" s="1"/>
  <c r="D96" i="4"/>
  <c r="D136" i="4" s="1"/>
  <c r="C96" i="4"/>
  <c r="C136" i="4" s="1"/>
  <c r="B96" i="4"/>
  <c r="B136" i="4" s="1"/>
  <c r="Q95" i="4"/>
  <c r="Q115" i="4" s="1"/>
  <c r="P95" i="4"/>
  <c r="P115" i="4" s="1"/>
  <c r="O95" i="4"/>
  <c r="O115" i="4" s="1"/>
  <c r="N95" i="4"/>
  <c r="N115" i="4" s="1"/>
  <c r="M95" i="4"/>
  <c r="M135" i="4" s="1"/>
  <c r="L95" i="4"/>
  <c r="L135" i="4" s="1"/>
  <c r="K95" i="4"/>
  <c r="K135" i="4" s="1"/>
  <c r="J95" i="4"/>
  <c r="J135" i="4" s="1"/>
  <c r="I95" i="4"/>
  <c r="I135" i="4" s="1"/>
  <c r="H95" i="4"/>
  <c r="H135" i="4" s="1"/>
  <c r="G95" i="4"/>
  <c r="G135" i="4" s="1"/>
  <c r="F95" i="4"/>
  <c r="F135" i="4" s="1"/>
  <c r="E95" i="4"/>
  <c r="E115" i="4" s="1"/>
  <c r="D95" i="4"/>
  <c r="D115" i="4" s="1"/>
  <c r="C95" i="4"/>
  <c r="C115" i="4" s="1"/>
  <c r="B95" i="4"/>
  <c r="B115" i="4" s="1"/>
  <c r="Q94" i="4"/>
  <c r="Q134" i="4" s="1"/>
  <c r="P94" i="4"/>
  <c r="P134" i="4" s="1"/>
  <c r="O94" i="4"/>
  <c r="O134" i="4" s="1"/>
  <c r="N94" i="4"/>
  <c r="N134" i="4" s="1"/>
  <c r="M94" i="4"/>
  <c r="M134" i="4" s="1"/>
  <c r="L94" i="4"/>
  <c r="L134" i="4" s="1"/>
  <c r="K94" i="4"/>
  <c r="K134" i="4" s="1"/>
  <c r="J94" i="4"/>
  <c r="J134" i="4" s="1"/>
  <c r="I94" i="4"/>
  <c r="I114" i="4" s="1"/>
  <c r="H94" i="4"/>
  <c r="H114" i="4" s="1"/>
  <c r="G94" i="4"/>
  <c r="G114" i="4" s="1"/>
  <c r="F94" i="4"/>
  <c r="F114" i="4" s="1"/>
  <c r="E94" i="4"/>
  <c r="E134" i="4" s="1"/>
  <c r="D94" i="4"/>
  <c r="D134" i="4" s="1"/>
  <c r="C94" i="4"/>
  <c r="C134" i="4" s="1"/>
  <c r="B94" i="4"/>
  <c r="B134" i="4" s="1"/>
  <c r="Q93" i="4"/>
  <c r="Q133" i="4" s="1"/>
  <c r="P93" i="4"/>
  <c r="P133" i="4" s="1"/>
  <c r="O93" i="4"/>
  <c r="O133" i="4" s="1"/>
  <c r="N93" i="4"/>
  <c r="N133" i="4" s="1"/>
  <c r="M93" i="4"/>
  <c r="M113" i="4" s="1"/>
  <c r="L93" i="4"/>
  <c r="L113" i="4" s="1"/>
  <c r="K93" i="4"/>
  <c r="K113" i="4" s="1"/>
  <c r="J93" i="4"/>
  <c r="J113" i="4" s="1"/>
  <c r="I93" i="4"/>
  <c r="I133" i="4" s="1"/>
  <c r="H93" i="4"/>
  <c r="H133" i="4" s="1"/>
  <c r="G93" i="4"/>
  <c r="G133" i="4" s="1"/>
  <c r="F93" i="4"/>
  <c r="F133" i="4" s="1"/>
  <c r="E93" i="4"/>
  <c r="E133" i="4" s="1"/>
  <c r="D93" i="4"/>
  <c r="D133" i="4" s="1"/>
  <c r="C93" i="4"/>
  <c r="C133" i="4" s="1"/>
  <c r="B93" i="4"/>
  <c r="B133" i="4" s="1"/>
  <c r="Q92" i="4"/>
  <c r="Q112" i="4" s="1"/>
  <c r="P92" i="4"/>
  <c r="P112" i="4" s="1"/>
  <c r="O92" i="4"/>
  <c r="O112" i="4" s="1"/>
  <c r="N92" i="4"/>
  <c r="N112" i="4" s="1"/>
  <c r="M92" i="4"/>
  <c r="M132" i="4" s="1"/>
  <c r="L92" i="4"/>
  <c r="L132" i="4" s="1"/>
  <c r="K92" i="4"/>
  <c r="K132" i="4" s="1"/>
  <c r="J92" i="4"/>
  <c r="J132" i="4" s="1"/>
  <c r="I92" i="4"/>
  <c r="I132" i="4" s="1"/>
  <c r="H92" i="4"/>
  <c r="H132" i="4" s="1"/>
  <c r="G92" i="4"/>
  <c r="G132" i="4" s="1"/>
  <c r="F92" i="4"/>
  <c r="F132" i="4" s="1"/>
  <c r="E92" i="4"/>
  <c r="E112" i="4" s="1"/>
  <c r="D92" i="4"/>
  <c r="D112" i="4" s="1"/>
  <c r="C92" i="4"/>
  <c r="C112" i="4" s="1"/>
  <c r="B92" i="4"/>
  <c r="B112" i="4" s="1"/>
  <c r="Q91" i="4"/>
  <c r="Q131" i="4" s="1"/>
  <c r="P91" i="4"/>
  <c r="P131" i="4" s="1"/>
  <c r="O91" i="4"/>
  <c r="O131" i="4" s="1"/>
  <c r="N91" i="4"/>
  <c r="N131" i="4" s="1"/>
  <c r="M91" i="4"/>
  <c r="M131" i="4" s="1"/>
  <c r="L91" i="4"/>
  <c r="L131" i="4" s="1"/>
  <c r="K91" i="4"/>
  <c r="K131" i="4" s="1"/>
  <c r="J91" i="4"/>
  <c r="J131" i="4" s="1"/>
  <c r="I91" i="4"/>
  <c r="I111" i="4" s="1"/>
  <c r="H91" i="4"/>
  <c r="H111" i="4" s="1"/>
  <c r="G91" i="4"/>
  <c r="G111" i="4" s="1"/>
  <c r="F91" i="4"/>
  <c r="F111" i="4" s="1"/>
  <c r="E91" i="4"/>
  <c r="E131" i="4" s="1"/>
  <c r="D91" i="4"/>
  <c r="D131" i="4" s="1"/>
  <c r="C91" i="4"/>
  <c r="C131" i="4" s="1"/>
  <c r="B91" i="4"/>
  <c r="B131" i="4" s="1"/>
  <c r="Q90" i="4"/>
  <c r="Q130" i="4" s="1"/>
  <c r="P90" i="4"/>
  <c r="P130" i="4" s="1"/>
  <c r="O90" i="4"/>
  <c r="O130" i="4" s="1"/>
  <c r="N90" i="4"/>
  <c r="N130" i="4" s="1"/>
  <c r="M90" i="4"/>
  <c r="M110" i="4" s="1"/>
  <c r="L90" i="4"/>
  <c r="L110" i="4" s="1"/>
  <c r="K90" i="4"/>
  <c r="K110" i="4" s="1"/>
  <c r="J90" i="4"/>
  <c r="J110" i="4" s="1"/>
  <c r="I90" i="4"/>
  <c r="I130" i="4" s="1"/>
  <c r="H90" i="4"/>
  <c r="H130" i="4" s="1"/>
  <c r="G90" i="4"/>
  <c r="G130" i="4" s="1"/>
  <c r="F90" i="4"/>
  <c r="F130" i="4" s="1"/>
  <c r="E90" i="4"/>
  <c r="E130" i="4" s="1"/>
  <c r="D90" i="4"/>
  <c r="D130" i="4" s="1"/>
  <c r="C90" i="4"/>
  <c r="C130" i="4" s="1"/>
  <c r="B90" i="4"/>
  <c r="B130" i="4" s="1"/>
  <c r="Q89" i="4"/>
  <c r="Q109" i="4" s="1"/>
  <c r="P89" i="4"/>
  <c r="P109" i="4" s="1"/>
  <c r="O89" i="4"/>
  <c r="O109" i="4" s="1"/>
  <c r="N89" i="4"/>
  <c r="N109" i="4" s="1"/>
  <c r="M89" i="4"/>
  <c r="M129" i="4" s="1"/>
  <c r="L89" i="4"/>
  <c r="L129" i="4" s="1"/>
  <c r="K89" i="4"/>
  <c r="K129" i="4" s="1"/>
  <c r="J89" i="4"/>
  <c r="J129" i="4" s="1"/>
  <c r="I89" i="4"/>
  <c r="I129" i="4" s="1"/>
  <c r="H89" i="4"/>
  <c r="H129" i="4" s="1"/>
  <c r="G89" i="4"/>
  <c r="G129" i="4" s="1"/>
  <c r="F89" i="4"/>
  <c r="F129" i="4" s="1"/>
  <c r="E89" i="4"/>
  <c r="E109" i="4" s="1"/>
  <c r="D89" i="4"/>
  <c r="D109" i="4" s="1"/>
  <c r="C89" i="4"/>
  <c r="C109" i="4" s="1"/>
  <c r="B89" i="4"/>
  <c r="B109" i="4" s="1"/>
  <c r="Q88" i="4"/>
  <c r="Q128" i="4" s="1"/>
  <c r="P88" i="4"/>
  <c r="P128" i="4" s="1"/>
  <c r="O88" i="4"/>
  <c r="O128" i="4" s="1"/>
  <c r="N88" i="4"/>
  <c r="N128" i="4" s="1"/>
  <c r="M88" i="4"/>
  <c r="M128" i="4" s="1"/>
  <c r="L88" i="4"/>
  <c r="L128" i="4" s="1"/>
  <c r="K88" i="4"/>
  <c r="K128" i="4" s="1"/>
  <c r="J88" i="4"/>
  <c r="J128" i="4" s="1"/>
  <c r="I88" i="4"/>
  <c r="I108" i="4" s="1"/>
  <c r="H88" i="4"/>
  <c r="H108" i="4" s="1"/>
  <c r="G88" i="4"/>
  <c r="G108" i="4" s="1"/>
  <c r="F88" i="4"/>
  <c r="F108" i="4" s="1"/>
  <c r="E88" i="4"/>
  <c r="E128" i="4" s="1"/>
  <c r="D88" i="4"/>
  <c r="D128" i="4" s="1"/>
  <c r="C88" i="4"/>
  <c r="C128" i="4" s="1"/>
  <c r="B88" i="4"/>
  <c r="B128" i="4" s="1"/>
  <c r="C122" i="4" l="1"/>
  <c r="C113" i="4"/>
  <c r="L123" i="4"/>
  <c r="I134" i="4"/>
  <c r="H143" i="4"/>
  <c r="H140" i="4"/>
  <c r="H137" i="4"/>
  <c r="E138" i="4"/>
  <c r="E135" i="4"/>
  <c r="P110" i="4"/>
  <c r="O110" i="4"/>
  <c r="L108" i="4"/>
  <c r="K108" i="4"/>
  <c r="D122" i="4"/>
  <c r="D113" i="4"/>
  <c r="P119" i="4"/>
  <c r="O119" i="4"/>
  <c r="L117" i="4"/>
  <c r="K117" i="4"/>
  <c r="I143" i="4"/>
  <c r="I140" i="4"/>
  <c r="I137" i="4"/>
  <c r="I131" i="4"/>
  <c r="I128" i="4"/>
  <c r="H121" i="4"/>
  <c r="H115" i="4"/>
  <c r="H134" i="4"/>
  <c r="H131" i="4"/>
  <c r="H128" i="4"/>
  <c r="G115" i="4"/>
  <c r="E141" i="4"/>
  <c r="E132" i="4"/>
  <c r="E129" i="4"/>
  <c r="D119" i="4"/>
  <c r="M108" i="4"/>
  <c r="Q110" i="4"/>
  <c r="E113" i="4"/>
  <c r="I115" i="4"/>
  <c r="M117" i="4"/>
  <c r="Q119" i="4"/>
  <c r="E122" i="4"/>
  <c r="C129" i="4"/>
  <c r="C132" i="4"/>
  <c r="C135" i="4"/>
  <c r="C138" i="4"/>
  <c r="C141" i="4"/>
  <c r="F109" i="4"/>
  <c r="J111" i="4"/>
  <c r="N113" i="4"/>
  <c r="B116" i="4"/>
  <c r="F118" i="4"/>
  <c r="J120" i="4"/>
  <c r="N122" i="4"/>
  <c r="D129" i="4"/>
  <c r="D132" i="4"/>
  <c r="D135" i="4"/>
  <c r="D138" i="4"/>
  <c r="D141" i="4"/>
  <c r="G109" i="4"/>
  <c r="K111" i="4"/>
  <c r="O113" i="4"/>
  <c r="C116" i="4"/>
  <c r="G118" i="4"/>
  <c r="K120" i="4"/>
  <c r="O122" i="4"/>
  <c r="H109" i="4"/>
  <c r="L111" i="4"/>
  <c r="P113" i="4"/>
  <c r="D116" i="4"/>
  <c r="H118" i="4"/>
  <c r="L120" i="4"/>
  <c r="P122" i="4"/>
  <c r="O129" i="4"/>
  <c r="O132" i="4"/>
  <c r="O135" i="4"/>
  <c r="O138" i="4"/>
  <c r="O141" i="4"/>
  <c r="I109" i="4"/>
  <c r="M111" i="4"/>
  <c r="Q113" i="4"/>
  <c r="E116" i="4"/>
  <c r="I118" i="4"/>
  <c r="M120" i="4"/>
  <c r="Q122" i="4"/>
  <c r="P129" i="4"/>
  <c r="P132" i="4"/>
  <c r="P135" i="4"/>
  <c r="P138" i="4"/>
  <c r="P141" i="4"/>
  <c r="B110" i="4"/>
  <c r="F112" i="4"/>
  <c r="J114" i="4"/>
  <c r="N116" i="4"/>
  <c r="B119" i="4"/>
  <c r="F121" i="4"/>
  <c r="J123" i="4"/>
  <c r="Q129" i="4"/>
  <c r="Q132" i="4"/>
  <c r="Q135" i="4"/>
  <c r="Q138" i="4"/>
  <c r="Q141" i="4"/>
  <c r="C110" i="4"/>
  <c r="G112" i="4"/>
  <c r="K114" i="4"/>
  <c r="O116" i="4"/>
  <c r="C119" i="4"/>
  <c r="G121" i="4"/>
  <c r="K123" i="4"/>
  <c r="K130" i="4"/>
  <c r="K133" i="4"/>
  <c r="K136" i="4"/>
  <c r="K139" i="4"/>
  <c r="K142" i="4"/>
  <c r="D110" i="4"/>
  <c r="H112" i="4"/>
  <c r="L114" i="4"/>
  <c r="P116" i="4"/>
  <c r="L130" i="4"/>
  <c r="L133" i="4"/>
  <c r="L136" i="4"/>
  <c r="L139" i="4"/>
  <c r="L142" i="4"/>
  <c r="E110" i="4"/>
  <c r="I112" i="4"/>
  <c r="M114" i="4"/>
  <c r="Q116" i="4"/>
  <c r="E119" i="4"/>
  <c r="I121" i="4"/>
  <c r="M123" i="4"/>
  <c r="M130" i="4"/>
  <c r="M133" i="4"/>
  <c r="M136" i="4"/>
  <c r="M139" i="4"/>
  <c r="M142" i="4"/>
  <c r="J108" i="4"/>
  <c r="N110" i="4"/>
  <c r="B113" i="4"/>
  <c r="F115" i="4"/>
  <c r="J117" i="4"/>
  <c r="N119" i="4"/>
  <c r="B122" i="4"/>
  <c r="G128" i="4"/>
  <c r="G131" i="4"/>
  <c r="G134" i="4"/>
  <c r="G137" i="4"/>
  <c r="G140" i="4"/>
  <c r="G143" i="4"/>
  <c r="F128" i="4"/>
  <c r="B129" i="4"/>
  <c r="N129" i="4"/>
  <c r="J130" i="4"/>
  <c r="F131" i="4"/>
  <c r="B132" i="4"/>
  <c r="N132" i="4"/>
  <c r="J133" i="4"/>
  <c r="F134" i="4"/>
  <c r="B135" i="4"/>
  <c r="N135" i="4"/>
  <c r="J136" i="4"/>
  <c r="F137" i="4"/>
  <c r="B138" i="4"/>
  <c r="N138" i="4"/>
  <c r="J139" i="4"/>
  <c r="F140" i="4"/>
  <c r="B141" i="4"/>
  <c r="N141" i="4"/>
  <c r="J142" i="4"/>
  <c r="F143" i="4"/>
  <c r="B108" i="4"/>
  <c r="N108" i="4"/>
  <c r="J109" i="4"/>
  <c r="F110" i="4"/>
  <c r="B111" i="4"/>
  <c r="N111" i="4"/>
  <c r="J112" i="4"/>
  <c r="F113" i="4"/>
  <c r="B114" i="4"/>
  <c r="N114" i="4"/>
  <c r="J115" i="4"/>
  <c r="F116" i="4"/>
  <c r="B117" i="4"/>
  <c r="N117" i="4"/>
  <c r="J118" i="4"/>
  <c r="F119" i="4"/>
  <c r="B120" i="4"/>
  <c r="N120" i="4"/>
  <c r="J121" i="4"/>
  <c r="F122" i="4"/>
  <c r="B123" i="4"/>
  <c r="N123" i="4"/>
  <c r="C108" i="4"/>
  <c r="O108" i="4"/>
  <c r="K109" i="4"/>
  <c r="G110" i="4"/>
  <c r="C111" i="4"/>
  <c r="O111" i="4"/>
  <c r="K112" i="4"/>
  <c r="G113" i="4"/>
  <c r="C114" i="4"/>
  <c r="O114" i="4"/>
  <c r="K115" i="4"/>
  <c r="G116" i="4"/>
  <c r="C117" i="4"/>
  <c r="O117" i="4"/>
  <c r="K118" i="4"/>
  <c r="G119" i="4"/>
  <c r="C120" i="4"/>
  <c r="O120" i="4"/>
  <c r="K121" i="4"/>
  <c r="G122" i="4"/>
  <c r="C123" i="4"/>
  <c r="O123" i="4"/>
  <c r="D108" i="4"/>
  <c r="P108" i="4"/>
  <c r="L109" i="4"/>
  <c r="H110" i="4"/>
  <c r="D111" i="4"/>
  <c r="P111" i="4"/>
  <c r="L112" i="4"/>
  <c r="H113" i="4"/>
  <c r="D114" i="4"/>
  <c r="P114" i="4"/>
  <c r="L115" i="4"/>
  <c r="H116" i="4"/>
  <c r="D117" i="4"/>
  <c r="P117" i="4"/>
  <c r="L118" i="4"/>
  <c r="H119" i="4"/>
  <c r="D120" i="4"/>
  <c r="P120" i="4"/>
  <c r="L121" i="4"/>
  <c r="H122" i="4"/>
  <c r="D123" i="4"/>
  <c r="P123" i="4"/>
  <c r="E108" i="4"/>
  <c r="Q108" i="4"/>
  <c r="M109" i="4"/>
  <c r="I110" i="4"/>
  <c r="E111" i="4"/>
  <c r="Q111" i="4"/>
  <c r="M112" i="4"/>
  <c r="I113" i="4"/>
  <c r="E114" i="4"/>
  <c r="Q114" i="4"/>
  <c r="M115" i="4"/>
  <c r="I116" i="4"/>
  <c r="E117" i="4"/>
  <c r="Q117" i="4"/>
  <c r="M118" i="4"/>
  <c r="I119" i="4"/>
  <c r="E120" i="4"/>
  <c r="Q120" i="4"/>
  <c r="M121" i="4"/>
  <c r="I122" i="4"/>
  <c r="E123" i="4"/>
  <c r="Q123" i="4"/>
</calcChain>
</file>

<file path=xl/sharedStrings.xml><?xml version="1.0" encoding="utf-8"?>
<sst xmlns="http://schemas.openxmlformats.org/spreadsheetml/2006/main" count="2834" uniqueCount="237">
  <si>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</si>
  <si>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</si>
  <si>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</si>
  <si>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</si>
  <si>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</si>
  <si>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</si>
  <si>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</si>
  <si>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</si>
  <si>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</si>
  <si>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</si>
  <si>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</si>
  <si>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</si>
  <si>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</si>
  <si>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</si>
  <si>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</si>
  <si>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</si>
  <si>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</si>
  <si>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</si>
  <si>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</si>
  <si>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</si>
  <si>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</si>
  <si>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</si>
  <si>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</si>
  <si>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</si>
  <si>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</si>
  <si>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</si>
  <si>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</si>
  <si>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</si>
  <si>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</si>
  <si>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</si>
  <si>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</si>
  <si>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</si>
  <si>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</si>
  <si>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</si>
  <si>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</si>
  <si>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</si>
  <si>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</si>
  <si>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</si>
  <si>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</si>
  <si>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</si>
  <si>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</si>
  <si>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</si>
  <si>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</si>
  <si>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</si>
  <si>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</si>
  <si>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</si>
  <si>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</si>
  <si>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</si>
  <si>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</si>
  <si>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</si>
  <si>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</si>
  <si>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</si>
  <si>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</si>
  <si>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</si>
  <si>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7/9</t>
  </si>
  <si>
    <t>3/4</t>
  </si>
  <si>
    <t>3/6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</si>
  <si>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</si>
  <si>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</si>
  <si>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</si>
  <si>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</si>
  <si>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</si>
  <si>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</si>
  <si>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</si>
  <si>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</si>
  <si>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</si>
  <si>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</si>
  <si>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</si>
  <si>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</si>
  <si>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</si>
  <si>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</si>
  <si>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</si>
  <si>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</si>
  <si>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4/7</t>
  </si>
  <si>
    <t>4/10</t>
  </si>
  <si>
    <t>3/11</t>
  </si>
  <si>
    <t>6/9</t>
  </si>
  <si>
    <t>4/9</t>
  </si>
  <si>
    <t>5/10</t>
  </si>
  <si>
    <t>2/7</t>
  </si>
  <si>
    <t>5/12</t>
  </si>
  <si>
    <t>3/8</t>
  </si>
  <si>
    <t>0/6</t>
  </si>
  <si>
    <t>4/4</t>
  </si>
  <si>
    <t>0/4</t>
  </si>
  <si>
    <t>9/11</t>
  </si>
  <si>
    <t>2/2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</si>
  <si>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</si>
  <si>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</si>
  <si>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</si>
  <si>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</si>
  <si>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</si>
  <si>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</si>
  <si>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</si>
  <si>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</si>
  <si>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</si>
  <si>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</si>
  <si>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</si>
  <si>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</si>
  <si>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</si>
  <si>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</si>
  <si>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</si>
  <si>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</si>
  <si>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</si>
  <si>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</si>
  <si>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</si>
  <si>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</si>
  <si>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</si>
  <si>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8/13</t>
  </si>
  <si>
    <t>5/14</t>
  </si>
  <si>
    <t>6/14</t>
  </si>
  <si>
    <t>4/11</t>
  </si>
  <si>
    <t>2/11</t>
  </si>
  <si>
    <t>5/13</t>
  </si>
  <si>
    <t>3/9</t>
  </si>
  <si>
    <t>9/14</t>
  </si>
  <si>
    <t>7/16</t>
  </si>
  <si>
    <t>11/18</t>
  </si>
  <si>
    <t>11/20</t>
  </si>
  <si>
    <t>2/9</t>
  </si>
  <si>
    <t>8/16</t>
  </si>
  <si>
    <t>10/18</t>
  </si>
  <si>
    <t>5/5</t>
  </si>
  <si>
    <t>6/18</t>
  </si>
  <si>
    <t>8/18</t>
  </si>
  <si>
    <t>4/14</t>
  </si>
  <si>
    <t>14/23</t>
  </si>
  <si>
    <t>12/18</t>
  </si>
  <si>
    <t>10/14</t>
  </si>
  <si>
    <t>6/6</t>
  </si>
  <si>
    <t>9/17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</si>
  <si>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</si>
  <si>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</si>
  <si>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</si>
  <si>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</si>
  <si>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</si>
  <si>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</si>
  <si>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</si>
  <si>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</si>
  <si>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</si>
  <si>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</si>
  <si>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</si>
  <si>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</si>
  <si>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</si>
  <si>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</si>
  <si>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</si>
  <si>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</si>
  <si>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</si>
  <si>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</si>
  <si>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</si>
  <si>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</si>
  <si>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</si>
  <si>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</si>
  <si>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Avg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</si>
  <si>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</si>
  <si>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</si>
  <si>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</si>
  <si>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</si>
  <si>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</si>
  <si>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Current Win Avg</t>
  </si>
  <si>
    <t>Counter</t>
  </si>
  <si>
    <t>Player Games Won</t>
  </si>
  <si>
    <t>Player Games Played</t>
  </si>
  <si>
    <t>NOT UPDATED BY MACRO ANYMORE</t>
  </si>
  <si>
    <t>6/13</t>
  </si>
  <si>
    <t>7/15</t>
  </si>
  <si>
    <t>5/9</t>
  </si>
  <si>
    <t>11/15</t>
  </si>
  <si>
    <t>10/20</t>
  </si>
  <si>
    <t>6/16</t>
  </si>
  <si>
    <t>12/20</t>
  </si>
  <si>
    <t>14/26</t>
  </si>
  <si>
    <t>4/15</t>
  </si>
  <si>
    <t>Duelist</t>
  </si>
  <si>
    <t>Initiator</t>
  </si>
  <si>
    <t>Controller</t>
  </si>
  <si>
    <t>Sentinel</t>
  </si>
  <si>
    <t>Winning Comp</t>
  </si>
  <si>
    <t>Losing Comp</t>
  </si>
  <si>
    <t>breach</t>
  </si>
  <si>
    <t>reyna</t>
  </si>
  <si>
    <t>brimstone</t>
  </si>
  <si>
    <t>killjoy</t>
  </si>
  <si>
    <t>sage</t>
  </si>
  <si>
    <t>chamber</t>
  </si>
  <si>
    <t>phoenix</t>
  </si>
  <si>
    <t>jett</t>
  </si>
  <si>
    <t>omen</t>
  </si>
  <si>
    <t>cypher</t>
  </si>
  <si>
    <t>viper</t>
  </si>
  <si>
    <t>yoru</t>
  </si>
  <si>
    <t>neon</t>
  </si>
  <si>
    <t>astra</t>
  </si>
  <si>
    <t>harbor</t>
  </si>
  <si>
    <t>sova</t>
  </si>
  <si>
    <t>raze</t>
  </si>
  <si>
    <t>skye</t>
  </si>
  <si>
    <t>kayo</t>
  </si>
  <si>
    <t>fade</t>
  </si>
  <si>
    <t>ROLES/AGENT LIST</t>
  </si>
  <si>
    <t>INDIV ROLE PLAY - COUNT</t>
  </si>
  <si>
    <t>INDIV ROLE PLAY - %</t>
  </si>
  <si>
    <t>Lobby</t>
  </si>
  <si>
    <t>LOBBY ROLE PLAY - %</t>
  </si>
  <si>
    <t>TOGGLE SWITCH FOR PERCENT/FRACTION?</t>
  </si>
  <si>
    <t>11/16</t>
  </si>
  <si>
    <t>13/18</t>
  </si>
  <si>
    <t>8/19</t>
  </si>
  <si>
    <t>1/6</t>
  </si>
  <si>
    <t>16/27</t>
  </si>
  <si>
    <t>11/13</t>
  </si>
  <si>
    <t>10/17</t>
  </si>
  <si>
    <t>10/12</t>
  </si>
  <si>
    <t>6/8</t>
  </si>
  <si>
    <t>12/23</t>
  </si>
  <si>
    <t>11/26</t>
  </si>
  <si>
    <t>9/21</t>
  </si>
  <si>
    <t>12/21</t>
  </si>
  <si>
    <t>6/10</t>
  </si>
  <si>
    <t>16/26</t>
  </si>
  <si>
    <t>7/17</t>
  </si>
  <si>
    <t>11/23</t>
  </si>
  <si>
    <t>5/16</t>
  </si>
  <si>
    <t>13/32</t>
  </si>
  <si>
    <t>10/15</t>
  </si>
  <si>
    <t>15/26</t>
  </si>
  <si>
    <t>14/29</t>
  </si>
  <si>
    <t>13/19</t>
  </si>
  <si>
    <t>2/8</t>
  </si>
  <si>
    <t>10/26</t>
  </si>
  <si>
    <t>19/32</t>
  </si>
  <si>
    <t>15/29</t>
  </si>
  <si>
    <t>9/12</t>
  </si>
  <si>
    <t>12/13</t>
  </si>
  <si>
    <t>6/19</t>
  </si>
  <si>
    <t>3/12</t>
  </si>
  <si>
    <t>1/13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</si>
</sst>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9" fontId="0" fillId="0" borderId="0" xfId="0" applyNumberFormat="1" applyAlignment="1">
      <alignment horizontal="right"/>
    </xf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1" fontId="0" fillId="0" borderId="0" xfId="0" applyNumberFormat="1"/>
    <xf numFmtId="0" fontId="1" fillId="2" borderId="0" xfId="0" applyFont="1" applyFill="1"/>
    <xf numFmtId="0" fontId="0" fillId="2" borderId="0" xfId="0" applyFill="1"/>
    <xf numFmtId="0" fontId="0" fillId="0" borderId="0" xfId="0" applyFill="1"/>
    <xf numFmtId="9" fontId="4" fillId="0" borderId="0" xfId="0" applyNumberFormat="1" applyFont="1" applyBorder="1"/>
    <xf numFmtId="9" fontId="5" fillId="0" borderId="0" xfId="0" applyNumberFormat="1" applyFont="1" applyBorder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51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38100"/>
          </c:spPr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381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Data!$B$440:$E$440</c:f>
              <c:strCache>
                <c:ptCount val="4"/>
                <c:pt idx="0">
                  <c:v>Duelist</c:v>
                </c:pt>
                <c:pt idx="1">
                  <c:v>Initiator</c:v>
                </c:pt>
                <c:pt idx="2">
                  <c:v>Controller</c:v>
                </c:pt>
                <c:pt idx="3">
                  <c:v>Sentinel</c:v>
                </c:pt>
              </c:strCache>
            </c:strRef>
          </c:cat>
          <c:val>
            <c:numRef>
              <c:f>Data!$B$441:$E$441</c:f>
              <c:numCache>
                <c:formatCode>0%</c:formatCode>
                <c:ptCount val="4"/>
                <c:pt idx="0">
                  <c:v>0.32692307692307693</c:v>
                </c:pt>
                <c:pt idx="1">
                  <c:v>0.11538461538461539</c:v>
                </c:pt>
                <c:pt idx="2">
                  <c:v>0.28846153846153844</c:v>
                </c:pt>
                <c:pt idx="3">
                  <c:v>0.26923076923076922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28</xdr:row>
          <xdr:rowOff>114300</xdr:rowOff>
        </xdr:from>
        <xdr:to>
          <xdr:col>13</xdr:col>
          <xdr:colOff>342900</xdr:colOff>
          <xdr:row>31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358588</xdr:colOff>
      <xdr:row>398</xdr:row>
      <xdr:rowOff>123265</xdr:rowOff>
    </xdr:from>
    <xdr:to>
      <xdr:col>26</xdr:col>
      <xdr:colOff>37694</xdr:colOff>
      <xdr:row>418</xdr:row>
      <xdr:rowOff>142849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49000" y="75975883"/>
          <a:ext cx="5125165" cy="3829584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201707</xdr:colOff>
      <xdr:row>398</xdr:row>
      <xdr:rowOff>134471</xdr:rowOff>
    </xdr:from>
    <xdr:to>
      <xdr:col>17</xdr:col>
      <xdr:colOff>62597</xdr:colOff>
      <xdr:row>413</xdr:row>
      <xdr:rowOff>1501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66531" y="75987089"/>
          <a:ext cx="2886478" cy="2724530"/>
        </a:xfrm>
        <a:prstGeom prst="rect">
          <a:avLst/>
        </a:prstGeom>
      </xdr:spPr>
    </xdr:pic>
    <xdr:clientData/>
  </xdr:twoCellAnchor>
  <xdr:twoCellAnchor editAs="oneCell">
    <xdr:from>
      <xdr:col>12</xdr:col>
      <xdr:colOff>168088</xdr:colOff>
      <xdr:row>413</xdr:row>
      <xdr:rowOff>123264</xdr:rowOff>
    </xdr:from>
    <xdr:to>
      <xdr:col>17</xdr:col>
      <xdr:colOff>28978</xdr:colOff>
      <xdr:row>428</xdr:row>
      <xdr:rowOff>37926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32912" y="78833382"/>
          <a:ext cx="2886478" cy="2772162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190500</xdr:colOff>
      <xdr:row>428</xdr:row>
      <xdr:rowOff>89646</xdr:rowOff>
    </xdr:from>
    <xdr:to>
      <xdr:col>17</xdr:col>
      <xdr:colOff>79969</xdr:colOff>
      <xdr:row>443</xdr:row>
      <xdr:rowOff>4308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55324" y="81657264"/>
          <a:ext cx="2915057" cy="2772162"/>
        </a:xfrm>
        <a:prstGeom prst="rect">
          <a:avLst/>
        </a:prstGeom>
      </xdr:spPr>
    </xdr:pic>
    <xdr:clientData/>
  </xdr:twoCellAnchor>
  <xdr:twoCellAnchor editAs="oneCell">
    <xdr:from>
      <xdr:col>18</xdr:col>
      <xdr:colOff>168088</xdr:colOff>
      <xdr:row>428</xdr:row>
      <xdr:rowOff>0</xdr:rowOff>
    </xdr:from>
    <xdr:to>
      <xdr:col>23</xdr:col>
      <xdr:colOff>48029</xdr:colOff>
      <xdr:row>442</xdr:row>
      <xdr:rowOff>105162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63617" y="81567618"/>
          <a:ext cx="2905530" cy="277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414617</xdr:colOff>
      <xdr:row>398</xdr:row>
      <xdr:rowOff>134470</xdr:rowOff>
    </xdr:from>
    <xdr:to>
      <xdr:col>11</xdr:col>
      <xdr:colOff>599402</xdr:colOff>
      <xdr:row>410</xdr:row>
      <xdr:rowOff>115736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48735" y="75987088"/>
          <a:ext cx="3210373" cy="2267266"/>
        </a:xfrm>
        <a:prstGeom prst="rect">
          <a:avLst/>
        </a:prstGeom>
      </xdr:spPr>
    </xdr:pic>
    <xdr:clientData/>
  </xdr:twoCellAnchor>
  <xdr:twoCellAnchor>
    <xdr:from>
      <xdr:col>6</xdr:col>
      <xdr:colOff>487456</xdr:colOff>
      <xdr:row>411</xdr:row>
      <xdr:rowOff>118783</xdr:rowOff>
    </xdr:from>
    <xdr:to>
      <xdr:col>11</xdr:col>
      <xdr:colOff>369794</xdr:colOff>
      <xdr:row>426</xdr:row>
      <xdr:rowOff>4483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0"/>
    <tableColumn id="3" name="brandon" dataDxfId="49"/>
    <tableColumn id="4" name="brian" dataDxfId="48"/>
    <tableColumn id="5" name="cade" dataDxfId="47"/>
    <tableColumn id="6" name="darwin" dataDxfId="46"/>
    <tableColumn id="7" name="josh" dataDxfId="45"/>
    <tableColumn id="8" name="lindsey" dataDxfId="44"/>
    <tableColumn id="9" name="sequential" dataDxfId="43"/>
    <tableColumn id="10" name="sophie" dataDxfId="42"/>
    <tableColumn id="11" name="steve" dataDxfId="41"/>
    <tableColumn id="12" name="steven" dataDxfId="40"/>
    <tableColumn id="13" name="sun" dataDxfId="39"/>
    <tableColumn id="14" name="susi" dataDxfId="38"/>
    <tableColumn id="15" name="susu" dataDxfId="37"/>
    <tableColumn id="16" name="tang" dataDxfId="36"/>
    <tableColumn id="17" name="yang" dataDxfId="35"/>
    <tableColumn id="35" name="andy " dataDxfId="34"/>
    <tableColumn id="18" name="brandon "/>
    <tableColumn id="19" name="brian " dataDxfId="33"/>
    <tableColumn id="20" name="cade " dataDxfId="32"/>
    <tableColumn id="21" name="darwin " dataDxfId="31"/>
    <tableColumn id="22" name="josh " dataDxfId="30"/>
    <tableColumn id="23" name="lindsey " dataDxfId="29"/>
    <tableColumn id="24" name="sequential " dataDxfId="28"/>
    <tableColumn id="25" name="sophie " dataDxfId="27"/>
    <tableColumn id="26" name="steve " dataDxfId="26"/>
    <tableColumn id="27" name="steven " dataDxfId="25"/>
    <tableColumn id="28" name="sun " dataDxfId="24"/>
    <tableColumn id="29" name="susi " dataDxfId="23"/>
    <tableColumn id="30" name="susu " dataDxfId="22"/>
    <tableColumn id="31" name="tang " dataDxfId="21"/>
    <tableColumn id="32" name="yang " dataDxfId="2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9"/>
    <tableColumn id="3" name="brandon" dataDxfId="18"/>
    <tableColumn id="4" name="brian" dataDxfId="17"/>
    <tableColumn id="5" name="cade" dataDxfId="16"/>
    <tableColumn id="6" name="darwin" dataDxfId="15"/>
    <tableColumn id="7" name="josh" dataDxfId="14"/>
    <tableColumn id="8" name="lindsey" dataDxfId="13"/>
    <tableColumn id="9" name="sequential" dataDxfId="12"/>
    <tableColumn id="10" name="sophie" dataDxfId="11"/>
    <tableColumn id="11" name="steve" dataDxfId="10"/>
    <tableColumn id="12" name="steven" dataDxfId="9"/>
    <tableColumn id="13" name="sun" dataDxfId="8"/>
    <tableColumn id="14" name="susi" dataDxfId="7"/>
    <tableColumn id="15" name="susu" dataDxfId="6"/>
    <tableColumn id="16" name="tang" dataDxfId="5"/>
    <tableColumn id="17" name="yang" dataDxfId="4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3"/>
    <tableColumn id="3" name="Percentage" dataDxfId="2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"/>
    <tableColumn id="3" name="Total Wins"/>
    <tableColumn id="4" name="Total Games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X481"/>
  <sheetViews>
    <sheetView tabSelected="1" zoomScale="85" zoomScaleNormal="85" workbookViewId="0">
      <pane xSplit="1" ySplit="13" topLeftCell="B449" activePane="bottomRight" state="frozen"/>
      <selection pane="topRight" activeCell="B1" sqref="B1"/>
      <selection pane="bottomLeft" activeCell="A14" sqref="A14"/>
      <selection pane="bottomRight" activeCell="Z467" sqref="Z467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50" x14ac:dyDescent="0.25">
      <c r="A1" s="3" t="s">
        <v>91</v>
      </c>
    </row>
    <row r="2" spans="1:50" s="25" customFormat="1" x14ac:dyDescent="0.25">
      <c r="A2" s="26" t="s">
        <v>0</v>
      </c>
      <c r="B2" s="25">
        <v>44845</v>
      </c>
      <c r="C2" s="25">
        <v>44845</v>
      </c>
      <c r="D2" s="25">
        <v>44852</v>
      </c>
      <c r="E2" s="25">
        <v>44855</v>
      </c>
      <c r="F2" s="25">
        <v>44856</v>
      </c>
      <c r="G2" s="25">
        <v>44856</v>
      </c>
      <c r="H2" s="25">
        <v>44856</v>
      </c>
      <c r="I2" s="25">
        <v>44856</v>
      </c>
      <c r="J2" s="25">
        <v>44857</v>
      </c>
      <c r="K2" s="25">
        <v>44857</v>
      </c>
      <c r="L2" s="25">
        <v>44871</v>
      </c>
      <c r="M2" s="25">
        <v>44877</v>
      </c>
      <c r="N2" s="25">
        <v>44877</v>
      </c>
      <c r="O2" s="25">
        <v>44877</v>
      </c>
      <c r="P2" s="25">
        <v>44878</v>
      </c>
      <c r="Q2" s="25">
        <v>44878</v>
      </c>
      <c r="R2" s="25">
        <v>44879</v>
      </c>
      <c r="S2" s="25">
        <v>44883</v>
      </c>
      <c r="T2" s="25">
        <v>44883</v>
      </c>
      <c r="U2" s="25">
        <v>44883</v>
      </c>
      <c r="V2" s="25">
        <v>44884</v>
      </c>
      <c r="W2" s="25">
        <v>44885</v>
      </c>
      <c r="X2" s="25">
        <v>44885</v>
      </c>
      <c r="Y2" s="25">
        <v>44885</v>
      </c>
      <c r="Z2" s="25">
        <v>44885</v>
      </c>
      <c r="AA2" s="25">
        <v>44890</v>
      </c>
      <c r="AB2" s="25">
        <v>44890</v>
      </c>
      <c r="AC2" s="25">
        <v>44891</v>
      </c>
      <c r="AD2" s="25">
        <v>44891</v>
      </c>
      <c r="AE2" s="25">
        <v>44897</v>
      </c>
      <c r="AF2" s="25">
        <v>44898</v>
      </c>
      <c r="AG2" s="25">
        <v>44898</v>
      </c>
      <c r="AH2" s="25">
        <v>44898</v>
      </c>
      <c r="AI2" s="25">
        <v>44899</v>
      </c>
      <c r="AJ2" s="25">
        <v>44899</v>
      </c>
      <c r="AK2" s="25">
        <v>44900</v>
      </c>
      <c r="AL2" s="25">
        <v>44904</v>
      </c>
      <c r="AM2" s="25">
        <v>44905</v>
      </c>
      <c r="AN2" s="25">
        <v>44905</v>
      </c>
      <c r="AO2" s="25">
        <v>44905</v>
      </c>
      <c r="AP2" s="25">
        <v>44905</v>
      </c>
      <c r="AQ2" s="25">
        <v>44906</v>
      </c>
      <c r="AR2" s="25">
        <v>44906</v>
      </c>
      <c r="AS2" s="25">
        <v>44911</v>
      </c>
      <c r="AT2" s="25">
        <v>44911</v>
      </c>
      <c r="AU2" s="25">
        <v>44913</v>
      </c>
      <c r="AV2" s="25">
        <v>44913</v>
      </c>
      <c r="AW2" s="25">
        <v>44915</v>
      </c>
      <c r="AX2" s="25">
        <v>44915</v>
      </c>
    </row>
    <row r="3" spans="1:50" s="22" customFormat="1" x14ac:dyDescent="0.25">
      <c r="A3" s="21" t="s">
        <v>1</v>
      </c>
      <c r="B3" s="22" t="s">
        <v>14</v>
      </c>
      <c r="C3" s="22" t="s">
        <v>2</v>
      </c>
      <c r="D3" s="22" t="s">
        <v>19</v>
      </c>
      <c r="E3" s="22" t="s">
        <v>20</v>
      </c>
      <c r="F3" s="22" t="s">
        <v>2</v>
      </c>
      <c r="G3" s="22" t="s">
        <v>14</v>
      </c>
      <c r="H3" s="22" t="s">
        <v>2</v>
      </c>
      <c r="I3" s="22" t="s">
        <v>17</v>
      </c>
      <c r="J3" s="22" t="s">
        <v>17</v>
      </c>
      <c r="K3" s="22" t="s">
        <v>19</v>
      </c>
      <c r="L3" s="22" t="s">
        <v>2</v>
      </c>
      <c r="M3" s="22" t="s">
        <v>14</v>
      </c>
      <c r="N3" s="22" t="s">
        <v>20</v>
      </c>
      <c r="O3" s="22" t="s">
        <v>17</v>
      </c>
      <c r="P3" s="22" t="s">
        <v>19</v>
      </c>
      <c r="Q3" s="22" t="s">
        <v>14</v>
      </c>
      <c r="R3" s="22" t="s">
        <v>17</v>
      </c>
      <c r="S3" s="22" t="s">
        <v>25</v>
      </c>
      <c r="T3" s="22" t="s">
        <v>2</v>
      </c>
      <c r="U3" s="22" t="s">
        <v>17</v>
      </c>
      <c r="V3" s="22" t="s">
        <v>21</v>
      </c>
      <c r="W3" s="22" t="s">
        <v>13</v>
      </c>
      <c r="X3" s="22" t="s">
        <v>20</v>
      </c>
      <c r="Y3" s="22" t="s">
        <v>25</v>
      </c>
      <c r="Z3" s="22" t="s">
        <v>19</v>
      </c>
      <c r="AA3" s="22" t="s">
        <v>13</v>
      </c>
      <c r="AB3" s="22" t="s">
        <v>20</v>
      </c>
      <c r="AC3" s="22" t="s">
        <v>14</v>
      </c>
      <c r="AD3" s="22" t="s">
        <v>25</v>
      </c>
      <c r="AE3" s="22" t="s">
        <v>2</v>
      </c>
      <c r="AF3" s="22" t="s">
        <v>17</v>
      </c>
      <c r="AG3" s="22" t="s">
        <v>21</v>
      </c>
      <c r="AH3" s="22" t="s">
        <v>14</v>
      </c>
      <c r="AI3" s="22" t="s">
        <v>20</v>
      </c>
      <c r="AJ3" s="22" t="s">
        <v>13</v>
      </c>
      <c r="AK3" s="22" t="s">
        <v>19</v>
      </c>
      <c r="AL3" s="22" t="s">
        <v>17</v>
      </c>
      <c r="AM3" s="22" t="s">
        <v>2</v>
      </c>
      <c r="AN3" s="22" t="s">
        <v>14</v>
      </c>
      <c r="AO3" s="22" t="s">
        <v>17</v>
      </c>
      <c r="AP3" s="22" t="s">
        <v>14</v>
      </c>
      <c r="AQ3" s="22" t="s">
        <v>13</v>
      </c>
      <c r="AR3" s="22" t="s">
        <v>2</v>
      </c>
      <c r="AS3" s="22" t="s">
        <v>21</v>
      </c>
      <c r="AT3" s="22" t="s">
        <v>25</v>
      </c>
      <c r="AU3" s="22" t="s">
        <v>20</v>
      </c>
      <c r="AV3" s="22" t="s">
        <v>25</v>
      </c>
      <c r="AW3" s="22" t="s">
        <v>13</v>
      </c>
      <c r="AX3" s="22" t="s">
        <v>19</v>
      </c>
    </row>
    <row r="4" spans="1:50" s="24" customFormat="1" x14ac:dyDescent="0.25">
      <c r="A4" s="23" t="s">
        <v>134</v>
      </c>
      <c r="B4" s="24" t="s">
        <v>7</v>
      </c>
      <c r="C4" s="24" t="s">
        <v>11</v>
      </c>
      <c r="D4" s="24" t="s">
        <v>3</v>
      </c>
      <c r="E4" s="24" t="s">
        <v>4</v>
      </c>
      <c r="F4" s="24" t="s">
        <v>8</v>
      </c>
      <c r="G4" s="24" t="s">
        <v>3</v>
      </c>
      <c r="H4" s="24" t="s">
        <v>3</v>
      </c>
      <c r="I4" s="24" t="s">
        <v>8</v>
      </c>
      <c r="J4" s="24" t="s">
        <v>6</v>
      </c>
      <c r="K4" s="24" t="s">
        <v>5</v>
      </c>
      <c r="L4" s="24" t="s">
        <v>9</v>
      </c>
      <c r="M4" s="24" t="s">
        <v>8</v>
      </c>
      <c r="N4" s="24" t="s">
        <v>3</v>
      </c>
      <c r="O4" s="24" t="s">
        <v>8</v>
      </c>
      <c r="P4" s="24" t="s">
        <v>8</v>
      </c>
      <c r="Q4" s="24" t="s">
        <v>11</v>
      </c>
      <c r="R4" s="24" t="s">
        <v>3</v>
      </c>
      <c r="S4" s="24" t="s">
        <v>7</v>
      </c>
      <c r="T4" s="24" t="s">
        <v>8</v>
      </c>
      <c r="U4" s="24" t="s">
        <v>7</v>
      </c>
      <c r="V4" s="24" t="s">
        <v>4</v>
      </c>
      <c r="W4" s="24" t="s">
        <v>5</v>
      </c>
      <c r="X4" s="24" t="s">
        <v>8</v>
      </c>
      <c r="Y4" s="24" t="s">
        <v>3</v>
      </c>
      <c r="Z4" s="24" t="s">
        <v>12</v>
      </c>
      <c r="AA4" s="24" t="s">
        <v>3</v>
      </c>
      <c r="AB4" s="24" t="s">
        <v>7</v>
      </c>
      <c r="AC4" s="24" t="s">
        <v>7</v>
      </c>
      <c r="AD4" s="24" t="s">
        <v>8</v>
      </c>
      <c r="AE4" s="24" t="s">
        <v>5</v>
      </c>
      <c r="AF4" s="24" t="s">
        <v>3</v>
      </c>
      <c r="AG4" s="24" t="s">
        <v>11</v>
      </c>
      <c r="AH4" s="24" t="s">
        <v>11</v>
      </c>
      <c r="AI4" s="24" t="s">
        <v>22</v>
      </c>
      <c r="AJ4" s="24" t="s">
        <v>22</v>
      </c>
      <c r="AK4" s="24" t="s">
        <v>9</v>
      </c>
      <c r="AL4" s="24" t="s">
        <v>3</v>
      </c>
      <c r="AM4" s="24" t="s">
        <v>8</v>
      </c>
      <c r="AN4" s="24" t="s">
        <v>8</v>
      </c>
      <c r="AO4" s="24" t="s">
        <v>3</v>
      </c>
      <c r="AP4" s="24" t="s">
        <v>5</v>
      </c>
      <c r="AQ4" s="24" t="s">
        <v>3</v>
      </c>
      <c r="AR4" s="24" t="s">
        <v>3</v>
      </c>
      <c r="AS4" s="24" t="s">
        <v>8</v>
      </c>
      <c r="AT4" s="24" t="s">
        <v>8</v>
      </c>
      <c r="AU4" s="24" t="s">
        <v>7</v>
      </c>
      <c r="AV4" s="24" t="s">
        <v>8</v>
      </c>
      <c r="AW4" s="24" t="s">
        <v>11</v>
      </c>
      <c r="AX4" s="24" t="s">
        <v>11</v>
      </c>
    </row>
    <row r="5" spans="1:50" s="24" customFormat="1" x14ac:dyDescent="0.25">
      <c r="B5" s="24" t="s">
        <v>9</v>
      </c>
      <c r="C5" s="24" t="s">
        <v>7</v>
      </c>
      <c r="D5" s="24" t="s">
        <v>22</v>
      </c>
      <c r="E5" s="24" t="s">
        <v>9</v>
      </c>
      <c r="F5" s="24" t="s">
        <v>24</v>
      </c>
      <c r="G5" s="24" t="s">
        <v>7</v>
      </c>
      <c r="H5" s="24" t="s">
        <v>7</v>
      </c>
      <c r="I5" s="24" t="s">
        <v>7</v>
      </c>
      <c r="J5" s="24" t="s">
        <v>9</v>
      </c>
      <c r="K5" s="24" t="s">
        <v>6</v>
      </c>
      <c r="L5" s="24" t="s">
        <v>7</v>
      </c>
      <c r="M5" s="24" t="s">
        <v>4</v>
      </c>
      <c r="N5" s="24" t="s">
        <v>5</v>
      </c>
      <c r="O5" s="24" t="s">
        <v>22</v>
      </c>
      <c r="P5" s="24" t="s">
        <v>6</v>
      </c>
      <c r="Q5" s="24" t="s">
        <v>3</v>
      </c>
      <c r="R5" s="24" t="s">
        <v>7</v>
      </c>
      <c r="S5" s="24" t="s">
        <v>9</v>
      </c>
      <c r="T5" s="24" t="s">
        <v>23</v>
      </c>
      <c r="U5" s="24" t="s">
        <v>4</v>
      </c>
      <c r="V5" s="24" t="s">
        <v>3</v>
      </c>
      <c r="W5" s="24" t="s">
        <v>23</v>
      </c>
      <c r="X5" s="24" t="s">
        <v>11</v>
      </c>
      <c r="Y5" s="24" t="s">
        <v>22</v>
      </c>
      <c r="Z5" s="24" t="s">
        <v>3</v>
      </c>
      <c r="AA5" s="24" t="s">
        <v>7</v>
      </c>
      <c r="AB5" s="24" t="s">
        <v>3</v>
      </c>
      <c r="AC5" s="24" t="s">
        <v>3</v>
      </c>
      <c r="AD5" s="24" t="s">
        <v>26</v>
      </c>
      <c r="AE5" s="24" t="s">
        <v>9</v>
      </c>
      <c r="AF5" s="24" t="s">
        <v>23</v>
      </c>
      <c r="AG5" s="24" t="s">
        <v>4</v>
      </c>
      <c r="AH5" s="24" t="s">
        <v>3</v>
      </c>
      <c r="AI5" s="24" t="s">
        <v>6</v>
      </c>
      <c r="AJ5" s="24" t="s">
        <v>5</v>
      </c>
      <c r="AK5" s="24" t="s">
        <v>11</v>
      </c>
      <c r="AL5" s="24" t="s">
        <v>7</v>
      </c>
      <c r="AM5" s="24" t="s">
        <v>7</v>
      </c>
      <c r="AN5" s="24" t="s">
        <v>3</v>
      </c>
      <c r="AO5" s="24" t="s">
        <v>7</v>
      </c>
      <c r="AP5" s="24" t="s">
        <v>8</v>
      </c>
      <c r="AQ5" s="24" t="s">
        <v>7</v>
      </c>
      <c r="AR5" s="24" t="s">
        <v>4</v>
      </c>
      <c r="AS5" s="24" t="s">
        <v>3</v>
      </c>
      <c r="AT5" s="24" t="s">
        <v>23</v>
      </c>
      <c r="AU5" s="24" t="s">
        <v>22</v>
      </c>
      <c r="AV5" s="24" t="s">
        <v>11</v>
      </c>
      <c r="AW5" s="24" t="s">
        <v>23</v>
      </c>
      <c r="AX5" s="24" t="s">
        <v>4</v>
      </c>
    </row>
    <row r="6" spans="1:50" s="24" customFormat="1" x14ac:dyDescent="0.25">
      <c r="B6" s="24" t="s">
        <v>4</v>
      </c>
      <c r="C6" s="24" t="s">
        <v>5</v>
      </c>
      <c r="D6" s="24" t="s">
        <v>11</v>
      </c>
      <c r="E6" s="24" t="s">
        <v>22</v>
      </c>
      <c r="F6" s="24" t="s">
        <v>4</v>
      </c>
      <c r="G6" s="24" t="s">
        <v>12</v>
      </c>
      <c r="H6" s="24" t="s">
        <v>22</v>
      </c>
      <c r="I6" s="24" t="s">
        <v>4</v>
      </c>
      <c r="J6" s="24" t="s">
        <v>22</v>
      </c>
      <c r="K6" s="24" t="s">
        <v>22</v>
      </c>
      <c r="L6" s="24" t="s">
        <v>4</v>
      </c>
      <c r="M6" s="24" t="s">
        <v>26</v>
      </c>
      <c r="N6" s="24" t="s">
        <v>22</v>
      </c>
      <c r="O6" s="24" t="s">
        <v>5</v>
      </c>
      <c r="P6" s="24" t="s">
        <v>22</v>
      </c>
      <c r="R6" s="24" t="s">
        <v>6</v>
      </c>
      <c r="S6" s="24" t="s">
        <v>22</v>
      </c>
      <c r="T6" s="24" t="s">
        <v>5</v>
      </c>
      <c r="U6" s="24" t="s">
        <v>22</v>
      </c>
      <c r="V6" s="24" t="s">
        <v>5</v>
      </c>
      <c r="W6" s="24" t="s">
        <v>6</v>
      </c>
      <c r="X6" s="24" t="s">
        <v>3</v>
      </c>
      <c r="Y6" s="24" t="s">
        <v>5</v>
      </c>
      <c r="Z6" s="24" t="s">
        <v>9</v>
      </c>
      <c r="AA6" s="24" t="s">
        <v>11</v>
      </c>
      <c r="AB6" s="24" t="s">
        <v>11</v>
      </c>
      <c r="AC6" s="24" t="s">
        <v>23</v>
      </c>
      <c r="AD6" s="24" t="s">
        <v>23</v>
      </c>
      <c r="AE6" s="24" t="s">
        <v>6</v>
      </c>
      <c r="AF6" s="24" t="s">
        <v>6</v>
      </c>
      <c r="AG6" s="24" t="s">
        <v>6</v>
      </c>
      <c r="AH6" s="24" t="s">
        <v>23</v>
      </c>
      <c r="AI6" s="24" t="s">
        <v>3</v>
      </c>
      <c r="AJ6" s="24" t="s">
        <v>4</v>
      </c>
      <c r="AK6" s="24" t="s">
        <v>6</v>
      </c>
      <c r="AL6" s="24" t="s">
        <v>4</v>
      </c>
      <c r="AM6" s="24" t="s">
        <v>3</v>
      </c>
      <c r="AN6" s="24" t="s">
        <v>7</v>
      </c>
      <c r="AO6" s="24" t="s">
        <v>11</v>
      </c>
      <c r="AP6" s="24" t="s">
        <v>7</v>
      </c>
      <c r="AQ6" s="24" t="s">
        <v>4</v>
      </c>
      <c r="AR6" s="24" t="s">
        <v>5</v>
      </c>
      <c r="AS6" s="24" t="s">
        <v>4</v>
      </c>
      <c r="AT6" s="24" t="s">
        <v>5</v>
      </c>
      <c r="AU6" s="24" t="s">
        <v>6</v>
      </c>
      <c r="AV6" s="24" t="s">
        <v>6</v>
      </c>
      <c r="AW6" s="24" t="s">
        <v>3</v>
      </c>
      <c r="AX6" s="24" t="s">
        <v>22</v>
      </c>
    </row>
    <row r="7" spans="1:50" s="24" customFormat="1" x14ac:dyDescent="0.25">
      <c r="B7" s="24" t="s">
        <v>22</v>
      </c>
      <c r="C7" s="24" t="s">
        <v>23</v>
      </c>
      <c r="D7" s="24" t="s">
        <v>6</v>
      </c>
      <c r="E7" s="24" t="s">
        <v>12</v>
      </c>
      <c r="F7" s="24" t="s">
        <v>26</v>
      </c>
      <c r="G7" s="24" t="s">
        <v>4</v>
      </c>
      <c r="H7" s="24" t="s">
        <v>4</v>
      </c>
      <c r="I7" s="24" t="s">
        <v>24</v>
      </c>
      <c r="J7" s="24" t="s">
        <v>5</v>
      </c>
      <c r="K7" s="24" t="s">
        <v>7</v>
      </c>
      <c r="L7" s="24" t="s">
        <v>5</v>
      </c>
      <c r="M7" s="24" t="s">
        <v>23</v>
      </c>
      <c r="N7" s="24" t="s">
        <v>4</v>
      </c>
      <c r="O7" s="24" t="s">
        <v>16</v>
      </c>
      <c r="P7" s="24" t="s">
        <v>24</v>
      </c>
      <c r="Q7" s="24" t="s">
        <v>22</v>
      </c>
      <c r="R7" s="24" t="s">
        <v>5</v>
      </c>
      <c r="S7" s="24" t="s">
        <v>6</v>
      </c>
      <c r="T7" s="24" t="s">
        <v>12</v>
      </c>
      <c r="U7" s="24" t="s">
        <v>5</v>
      </c>
      <c r="V7" s="24" t="s">
        <v>16</v>
      </c>
      <c r="W7" s="24" t="s">
        <v>4</v>
      </c>
      <c r="X7" s="24" t="s">
        <v>7</v>
      </c>
      <c r="Y7" s="24" t="s">
        <v>6</v>
      </c>
      <c r="Z7" s="24" t="s">
        <v>4</v>
      </c>
      <c r="AA7" s="24" t="s">
        <v>12</v>
      </c>
      <c r="AB7" s="24" t="s">
        <v>12</v>
      </c>
      <c r="AC7" s="24" t="s">
        <v>6</v>
      </c>
      <c r="AD7" s="24" t="s">
        <v>24</v>
      </c>
      <c r="AE7" s="24" t="s">
        <v>7</v>
      </c>
      <c r="AF7" s="24" t="s">
        <v>4</v>
      </c>
      <c r="AG7" s="24" t="s">
        <v>5</v>
      </c>
      <c r="AH7" s="24" t="s">
        <v>12</v>
      </c>
      <c r="AI7" s="24" t="s">
        <v>4</v>
      </c>
      <c r="AJ7" s="24" t="s">
        <v>6</v>
      </c>
      <c r="AK7" s="24" t="s">
        <v>23</v>
      </c>
      <c r="AL7" s="24" t="s">
        <v>12</v>
      </c>
      <c r="AM7" s="24" t="s">
        <v>12</v>
      </c>
      <c r="AN7" s="24" t="s">
        <v>12</v>
      </c>
      <c r="AO7" s="24" t="s">
        <v>18</v>
      </c>
      <c r="AP7" s="24" t="s">
        <v>6</v>
      </c>
      <c r="AQ7" s="24" t="s">
        <v>5</v>
      </c>
      <c r="AR7" s="24" t="s">
        <v>6</v>
      </c>
      <c r="AS7" s="24" t="s">
        <v>5</v>
      </c>
      <c r="AT7" s="24" t="s">
        <v>4</v>
      </c>
      <c r="AU7" s="24" t="s">
        <v>12</v>
      </c>
      <c r="AV7" s="24" t="s">
        <v>12</v>
      </c>
      <c r="AW7" s="24" t="s">
        <v>16</v>
      </c>
      <c r="AX7" s="24" t="s">
        <v>5</v>
      </c>
    </row>
    <row r="8" spans="1:50" s="22" customFormat="1" x14ac:dyDescent="0.25">
      <c r="B8" s="22" t="s">
        <v>12</v>
      </c>
      <c r="C8" s="22" t="s">
        <v>12</v>
      </c>
      <c r="D8" s="22" t="s">
        <v>12</v>
      </c>
      <c r="F8" s="22" t="s">
        <v>16</v>
      </c>
      <c r="G8" s="22" t="s">
        <v>6</v>
      </c>
      <c r="H8" s="22" t="s">
        <v>16</v>
      </c>
      <c r="J8" s="22" t="s">
        <v>12</v>
      </c>
      <c r="K8" s="22" t="s">
        <v>4</v>
      </c>
      <c r="L8" s="22" t="s">
        <v>16</v>
      </c>
      <c r="M8" s="22" t="s">
        <v>24</v>
      </c>
      <c r="N8" s="22" t="s">
        <v>12</v>
      </c>
      <c r="O8" s="22" t="s">
        <v>4</v>
      </c>
      <c r="P8" s="22" t="s">
        <v>12</v>
      </c>
      <c r="Q8" s="22" t="s">
        <v>24</v>
      </c>
      <c r="R8" s="22" t="s">
        <v>12</v>
      </c>
      <c r="S8" s="22" t="s">
        <v>4</v>
      </c>
      <c r="T8" s="22" t="s">
        <v>4</v>
      </c>
      <c r="U8" s="22" t="s">
        <v>16</v>
      </c>
      <c r="V8" s="22" t="s">
        <v>12</v>
      </c>
      <c r="W8" s="22" t="s">
        <v>22</v>
      </c>
      <c r="X8" s="22" t="s">
        <v>12</v>
      </c>
      <c r="Y8" s="22" t="s">
        <v>12</v>
      </c>
      <c r="Z8" s="22" t="s">
        <v>6</v>
      </c>
      <c r="AA8" s="22" t="s">
        <v>16</v>
      </c>
      <c r="AB8" s="22" t="s">
        <v>16</v>
      </c>
      <c r="AC8" s="22" t="s">
        <v>5</v>
      </c>
      <c r="AE8" s="22" t="s">
        <v>12</v>
      </c>
      <c r="AF8" s="22" t="s">
        <v>16</v>
      </c>
      <c r="AG8" s="22" t="s">
        <v>16</v>
      </c>
      <c r="AH8" s="22" t="s">
        <v>18</v>
      </c>
      <c r="AI8" s="22" t="s">
        <v>5</v>
      </c>
      <c r="AJ8" s="22" t="s">
        <v>24</v>
      </c>
      <c r="AK8" s="22" t="s">
        <v>5</v>
      </c>
      <c r="AL8" s="22" t="s">
        <v>16</v>
      </c>
      <c r="AO8" s="22" t="s">
        <v>16</v>
      </c>
      <c r="AP8" s="22" t="s">
        <v>16</v>
      </c>
      <c r="AQ8" s="22" t="s">
        <v>6</v>
      </c>
      <c r="AR8" s="22" t="s">
        <v>7</v>
      </c>
      <c r="AS8" s="22" t="s">
        <v>18</v>
      </c>
      <c r="AT8" s="22" t="s">
        <v>16</v>
      </c>
      <c r="AU8" s="22" t="s">
        <v>11</v>
      </c>
      <c r="AV8" s="22" t="s">
        <v>4</v>
      </c>
      <c r="AW8" s="22" t="s">
        <v>6</v>
      </c>
      <c r="AX8" s="22" t="s">
        <v>16</v>
      </c>
    </row>
    <row r="9" spans="1:50" s="24" customFormat="1" x14ac:dyDescent="0.25">
      <c r="A9" s="23" t="s">
        <v>135</v>
      </c>
      <c r="B9" s="24" t="s">
        <v>5</v>
      </c>
      <c r="C9" s="24" t="s">
        <v>9</v>
      </c>
      <c r="E9" s="24" t="s">
        <v>3</v>
      </c>
      <c r="F9" s="24" t="s">
        <v>6</v>
      </c>
      <c r="G9" s="24" t="s">
        <v>5</v>
      </c>
      <c r="H9" s="24" t="s">
        <v>8</v>
      </c>
      <c r="I9" s="24" t="s">
        <v>3</v>
      </c>
      <c r="J9" s="24" t="s">
        <v>3</v>
      </c>
      <c r="K9" s="24" t="s">
        <v>24</v>
      </c>
      <c r="L9" s="24" t="s">
        <v>3</v>
      </c>
      <c r="M9" s="24" t="s">
        <v>5</v>
      </c>
      <c r="N9" s="24" t="s">
        <v>8</v>
      </c>
      <c r="O9" s="24" t="s">
        <v>3</v>
      </c>
      <c r="P9" s="24" t="s">
        <v>4</v>
      </c>
      <c r="Q9" s="24" t="s">
        <v>8</v>
      </c>
      <c r="R9" s="24" t="s">
        <v>24</v>
      </c>
      <c r="S9" s="24" t="s">
        <v>23</v>
      </c>
      <c r="T9" s="24" t="s">
        <v>7</v>
      </c>
      <c r="U9" s="24" t="s">
        <v>23</v>
      </c>
      <c r="V9" s="24" t="s">
        <v>11</v>
      </c>
      <c r="W9" s="24" t="s">
        <v>3</v>
      </c>
      <c r="X9" s="24" t="s">
        <v>22</v>
      </c>
      <c r="Y9" s="24" t="s">
        <v>8</v>
      </c>
      <c r="Z9" s="24" t="s">
        <v>8</v>
      </c>
      <c r="AA9" s="24" t="s">
        <v>9</v>
      </c>
      <c r="AB9" s="24" t="s">
        <v>4</v>
      </c>
      <c r="AC9" s="24" t="s">
        <v>8</v>
      </c>
      <c r="AD9" s="24" t="s">
        <v>4</v>
      </c>
      <c r="AE9" s="24" t="s">
        <v>22</v>
      </c>
      <c r="AF9" s="24" t="s">
        <v>11</v>
      </c>
      <c r="AG9" s="24" t="s">
        <v>3</v>
      </c>
      <c r="AH9" s="24" t="s">
        <v>4</v>
      </c>
      <c r="AI9" s="24" t="s">
        <v>8</v>
      </c>
      <c r="AJ9" s="24" t="s">
        <v>8</v>
      </c>
      <c r="AK9" s="24" t="s">
        <v>3</v>
      </c>
      <c r="AL9" s="24" t="s">
        <v>9</v>
      </c>
      <c r="AM9" s="24" t="s">
        <v>23</v>
      </c>
      <c r="AN9" s="24" t="s">
        <v>4</v>
      </c>
      <c r="AO9" s="24" t="s">
        <v>8</v>
      </c>
      <c r="AP9" s="24" t="s">
        <v>3</v>
      </c>
      <c r="AQ9" s="24" t="s">
        <v>8</v>
      </c>
      <c r="AR9" s="24" t="s">
        <v>8</v>
      </c>
      <c r="AS9" s="24" t="s">
        <v>7</v>
      </c>
      <c r="AT9" s="24" t="s">
        <v>22</v>
      </c>
      <c r="AU9" s="24" t="s">
        <v>3</v>
      </c>
      <c r="AV9" s="24" t="s">
        <v>7</v>
      </c>
      <c r="AW9" s="24" t="s">
        <v>4</v>
      </c>
      <c r="AX9" s="24" t="s">
        <v>3</v>
      </c>
    </row>
    <row r="10" spans="1:50" s="24" customFormat="1" x14ac:dyDescent="0.25">
      <c r="B10" s="24" t="s">
        <v>11</v>
      </c>
      <c r="C10" s="24" t="s">
        <v>6</v>
      </c>
      <c r="D10" s="24" t="s">
        <v>5</v>
      </c>
      <c r="E10" s="24" t="s">
        <v>26</v>
      </c>
      <c r="F10" s="24" t="s">
        <v>22</v>
      </c>
      <c r="G10" s="24" t="s">
        <v>22</v>
      </c>
      <c r="H10" s="24" t="s">
        <v>5</v>
      </c>
      <c r="I10" s="24" t="s">
        <v>5</v>
      </c>
      <c r="J10" s="24" t="s">
        <v>11</v>
      </c>
      <c r="K10" s="24" t="s">
        <v>8</v>
      </c>
      <c r="L10" s="24" t="s">
        <v>22</v>
      </c>
      <c r="M10" s="24" t="s">
        <v>16</v>
      </c>
      <c r="N10" s="24" t="s">
        <v>16</v>
      </c>
      <c r="O10" s="24" t="s">
        <v>26</v>
      </c>
      <c r="P10" s="24" t="s">
        <v>5</v>
      </c>
      <c r="Q10" s="24" t="s">
        <v>6</v>
      </c>
      <c r="R10" s="24" t="s">
        <v>11</v>
      </c>
      <c r="S10" s="24" t="s">
        <v>8</v>
      </c>
      <c r="T10" s="24" t="s">
        <v>9</v>
      </c>
      <c r="U10" s="24" t="s">
        <v>9</v>
      </c>
      <c r="V10" s="24" t="s">
        <v>22</v>
      </c>
      <c r="W10" s="24" t="s">
        <v>7</v>
      </c>
      <c r="X10" s="24" t="s">
        <v>23</v>
      </c>
      <c r="Y10" s="24" t="s">
        <v>24</v>
      </c>
      <c r="Z10" s="24" t="s">
        <v>22</v>
      </c>
      <c r="AA10" s="24" t="s">
        <v>4</v>
      </c>
      <c r="AB10" s="24" t="s">
        <v>23</v>
      </c>
      <c r="AC10" s="24" t="s">
        <v>9</v>
      </c>
      <c r="AD10" s="24" t="s">
        <v>3</v>
      </c>
      <c r="AE10" s="24" t="s">
        <v>3</v>
      </c>
      <c r="AF10" s="24" t="s">
        <v>22</v>
      </c>
      <c r="AG10" s="24" t="s">
        <v>22</v>
      </c>
      <c r="AH10" s="24" t="s">
        <v>6</v>
      </c>
      <c r="AI10" s="24" t="s">
        <v>10</v>
      </c>
      <c r="AJ10" s="24" t="s">
        <v>3</v>
      </c>
      <c r="AK10" s="24" t="s">
        <v>4</v>
      </c>
      <c r="AL10" s="24" t="s">
        <v>8</v>
      </c>
      <c r="AM10" s="24" t="s">
        <v>18</v>
      </c>
      <c r="AN10" s="24" t="s">
        <v>5</v>
      </c>
      <c r="AO10" s="24" t="s">
        <v>6</v>
      </c>
      <c r="AP10" s="24" t="s">
        <v>4</v>
      </c>
      <c r="AQ10" s="24" t="s">
        <v>10</v>
      </c>
      <c r="AR10" s="24" t="s">
        <v>9</v>
      </c>
      <c r="AS10" s="24" t="s">
        <v>23</v>
      </c>
      <c r="AT10" s="24" t="s">
        <v>3</v>
      </c>
      <c r="AU10" s="24" t="s">
        <v>9</v>
      </c>
      <c r="AV10" s="24" t="s">
        <v>9</v>
      </c>
      <c r="AW10" s="24" t="s">
        <v>22</v>
      </c>
      <c r="AX10" s="24" t="s">
        <v>11</v>
      </c>
    </row>
    <row r="11" spans="1:50" s="24" customFormat="1" x14ac:dyDescent="0.25">
      <c r="B11" s="24" t="s">
        <v>23</v>
      </c>
      <c r="C11" s="24" t="s">
        <v>22</v>
      </c>
      <c r="E11" s="24" t="s">
        <v>6</v>
      </c>
      <c r="F11" s="24" t="s">
        <v>3</v>
      </c>
      <c r="G11" s="24" t="s">
        <v>8</v>
      </c>
      <c r="H11" s="24" t="s">
        <v>6</v>
      </c>
      <c r="I11" s="24" t="s">
        <v>22</v>
      </c>
      <c r="J11" s="24" t="s">
        <v>16</v>
      </c>
      <c r="K11" s="24" t="s">
        <v>26</v>
      </c>
      <c r="L11" s="24" t="s">
        <v>24</v>
      </c>
      <c r="M11" s="24" t="s">
        <v>11</v>
      </c>
      <c r="N11" s="24" t="s">
        <v>26</v>
      </c>
      <c r="O11" s="24" t="s">
        <v>24</v>
      </c>
      <c r="P11" s="24" t="s">
        <v>3</v>
      </c>
      <c r="Q11" s="24" t="s">
        <v>5</v>
      </c>
      <c r="R11" s="24" t="s">
        <v>4</v>
      </c>
      <c r="S11" s="24" t="s">
        <v>5</v>
      </c>
      <c r="T11" s="24" t="s">
        <v>6</v>
      </c>
      <c r="U11" s="24" t="s">
        <v>8</v>
      </c>
      <c r="V11" s="24" t="s">
        <v>6</v>
      </c>
      <c r="W11" s="24" t="s">
        <v>12</v>
      </c>
      <c r="X11" s="24" t="s">
        <v>5</v>
      </c>
      <c r="Y11" s="24" t="s">
        <v>9</v>
      </c>
      <c r="Z11" s="24" t="s">
        <v>5</v>
      </c>
      <c r="AA11" s="24" t="s">
        <v>23</v>
      </c>
      <c r="AB11" s="24" t="s">
        <v>9</v>
      </c>
      <c r="AC11" s="24" t="s">
        <v>12</v>
      </c>
      <c r="AD11" s="24" t="s">
        <v>5</v>
      </c>
      <c r="AE11" s="24" t="s">
        <v>4</v>
      </c>
      <c r="AF11" s="24" t="s">
        <v>12</v>
      </c>
      <c r="AG11" s="24" t="s">
        <v>23</v>
      </c>
      <c r="AH11" s="24" t="s">
        <v>5</v>
      </c>
      <c r="AI11" s="24" t="s">
        <v>12</v>
      </c>
      <c r="AJ11" s="24" t="s">
        <v>23</v>
      </c>
      <c r="AK11" s="24" t="s">
        <v>7</v>
      </c>
      <c r="AL11" s="24" t="s">
        <v>5</v>
      </c>
      <c r="AM11" s="24" t="s">
        <v>4</v>
      </c>
      <c r="AN11" s="24" t="s">
        <v>22</v>
      </c>
      <c r="AO11" s="24" t="s">
        <v>5</v>
      </c>
      <c r="AP11" s="24" t="s">
        <v>11</v>
      </c>
      <c r="AQ11" s="24" t="s">
        <v>9</v>
      </c>
      <c r="AR11" s="24" t="s">
        <v>10</v>
      </c>
      <c r="AS11" s="24" t="s">
        <v>22</v>
      </c>
      <c r="AT11" s="24" t="s">
        <v>7</v>
      </c>
      <c r="AU11" s="24" t="s">
        <v>5</v>
      </c>
      <c r="AV11" s="24" t="s">
        <v>3</v>
      </c>
      <c r="AW11" s="24" t="s">
        <v>7</v>
      </c>
      <c r="AX11" s="24" t="s">
        <v>7</v>
      </c>
    </row>
    <row r="12" spans="1:50" s="24" customFormat="1" x14ac:dyDescent="0.25">
      <c r="B12" s="24" t="s">
        <v>6</v>
      </c>
      <c r="C12" s="24" t="s">
        <v>4</v>
      </c>
      <c r="D12" s="24" t="s">
        <v>7</v>
      </c>
      <c r="E12" s="24" t="s">
        <v>16</v>
      </c>
      <c r="F12" s="24" t="s">
        <v>9</v>
      </c>
      <c r="G12" s="24" t="s">
        <v>24</v>
      </c>
      <c r="H12" s="24" t="s">
        <v>24</v>
      </c>
      <c r="I12" s="24" t="s">
        <v>12</v>
      </c>
      <c r="J12" s="24" t="s">
        <v>4</v>
      </c>
      <c r="L12" s="24" t="s">
        <v>6</v>
      </c>
      <c r="M12" s="24" t="s">
        <v>3</v>
      </c>
      <c r="N12" s="24" t="s">
        <v>24</v>
      </c>
      <c r="O12" s="24" t="s">
        <v>12</v>
      </c>
      <c r="P12" s="24" t="s">
        <v>16</v>
      </c>
      <c r="Q12" s="24" t="s">
        <v>12</v>
      </c>
      <c r="R12" s="24" t="s">
        <v>22</v>
      </c>
      <c r="S12" s="24" t="s">
        <v>12</v>
      </c>
      <c r="T12" s="24" t="s">
        <v>22</v>
      </c>
      <c r="U12" s="24" t="s">
        <v>6</v>
      </c>
      <c r="V12" s="24" t="s">
        <v>23</v>
      </c>
      <c r="W12" s="24" t="s">
        <v>11</v>
      </c>
      <c r="X12" s="24" t="s">
        <v>6</v>
      </c>
      <c r="Y12" s="24" t="s">
        <v>4</v>
      </c>
      <c r="Z12" s="24" t="s">
        <v>24</v>
      </c>
      <c r="AA12" s="24" t="s">
        <v>5</v>
      </c>
      <c r="AB12" s="24" t="s">
        <v>5</v>
      </c>
      <c r="AC12" s="24" t="s">
        <v>4</v>
      </c>
      <c r="AD12" s="24" t="s">
        <v>12</v>
      </c>
      <c r="AE12" s="24" t="s">
        <v>23</v>
      </c>
      <c r="AF12" s="24" t="s">
        <v>5</v>
      </c>
      <c r="AG12" s="24" t="s">
        <v>12</v>
      </c>
      <c r="AH12" s="24" t="s">
        <v>22</v>
      </c>
      <c r="AI12" s="24" t="s">
        <v>24</v>
      </c>
      <c r="AJ12" s="24" t="s">
        <v>10</v>
      </c>
      <c r="AK12" s="24" t="s">
        <v>22</v>
      </c>
      <c r="AL12" s="24" t="s">
        <v>18</v>
      </c>
      <c r="AM12" s="24" t="s">
        <v>9</v>
      </c>
      <c r="AN12" s="24" t="s">
        <v>9</v>
      </c>
      <c r="AO12" s="24" t="s">
        <v>4</v>
      </c>
      <c r="AP12" s="24" t="s">
        <v>9</v>
      </c>
      <c r="AQ12" s="24" t="s">
        <v>12</v>
      </c>
      <c r="AR12" s="24" t="s">
        <v>11</v>
      </c>
      <c r="AS12" s="24" t="s">
        <v>16</v>
      </c>
      <c r="AT12" s="24" t="s">
        <v>12</v>
      </c>
      <c r="AU12" s="24" t="s">
        <v>16</v>
      </c>
      <c r="AV12" s="24" t="s">
        <v>16</v>
      </c>
      <c r="AW12" s="24" t="s">
        <v>5</v>
      </c>
      <c r="AX12" s="24" t="s">
        <v>12</v>
      </c>
    </row>
    <row r="13" spans="1:50" s="22" customFormat="1" x14ac:dyDescent="0.25">
      <c r="B13" s="22" t="s">
        <v>16</v>
      </c>
      <c r="C13" s="22" t="s">
        <v>16</v>
      </c>
      <c r="D13" s="22" t="s">
        <v>16</v>
      </c>
      <c r="E13" s="22" t="s">
        <v>24</v>
      </c>
      <c r="F13" s="22" t="s">
        <v>12</v>
      </c>
      <c r="G13" s="22" t="s">
        <v>16</v>
      </c>
      <c r="H13" s="22" t="s">
        <v>12</v>
      </c>
      <c r="I13" s="22" t="s">
        <v>6</v>
      </c>
      <c r="K13" s="22" t="s">
        <v>12</v>
      </c>
      <c r="L13" s="22" t="s">
        <v>12</v>
      </c>
      <c r="M13" s="22" t="s">
        <v>12</v>
      </c>
      <c r="R13" s="22" t="s">
        <v>16</v>
      </c>
      <c r="S13" s="22" t="s">
        <v>16</v>
      </c>
      <c r="T13" s="22" t="s">
        <v>16</v>
      </c>
      <c r="U13" s="22" t="s">
        <v>12</v>
      </c>
      <c r="V13" s="22" t="s">
        <v>18</v>
      </c>
      <c r="W13" s="22" t="s">
        <v>16</v>
      </c>
      <c r="X13" s="22" t="s">
        <v>4</v>
      </c>
      <c r="Y13" s="22" t="s">
        <v>16</v>
      </c>
      <c r="Z13" s="22" t="s">
        <v>16</v>
      </c>
      <c r="AA13" s="22" t="s">
        <v>6</v>
      </c>
      <c r="AB13" s="22" t="s">
        <v>6</v>
      </c>
      <c r="AC13" s="22" t="s">
        <v>24</v>
      </c>
      <c r="AD13" s="22" t="s">
        <v>16</v>
      </c>
      <c r="AE13" s="22" t="s">
        <v>16</v>
      </c>
      <c r="AF13" s="22" t="s">
        <v>18</v>
      </c>
      <c r="AG13" s="22" t="s">
        <v>18</v>
      </c>
      <c r="AH13" s="22" t="s">
        <v>16</v>
      </c>
      <c r="AI13" s="22" t="s">
        <v>23</v>
      </c>
      <c r="AJ13" s="22" t="s">
        <v>12</v>
      </c>
      <c r="AK13" s="22" t="s">
        <v>12</v>
      </c>
      <c r="AL13" s="22" t="s">
        <v>23</v>
      </c>
      <c r="AM13" s="22" t="s">
        <v>5</v>
      </c>
      <c r="AN13" s="22" t="s">
        <v>23</v>
      </c>
      <c r="AO13" s="22" t="s">
        <v>15</v>
      </c>
      <c r="AP13" s="22" t="s">
        <v>15</v>
      </c>
      <c r="AQ13" s="22" t="s">
        <v>11</v>
      </c>
      <c r="AR13" s="22" t="s">
        <v>12</v>
      </c>
      <c r="AS13" s="22" t="s">
        <v>12</v>
      </c>
      <c r="AT13" s="22" t="s">
        <v>18</v>
      </c>
      <c r="AU13" s="22" t="s">
        <v>4</v>
      </c>
      <c r="AV13" s="22" t="s">
        <v>5</v>
      </c>
      <c r="AW13" s="22" t="s">
        <v>12</v>
      </c>
      <c r="AX13" s="22" t="s">
        <v>6</v>
      </c>
    </row>
    <row r="14" spans="1:50" s="30" customFormat="1" x14ac:dyDescent="0.25">
      <c r="A14" s="29" t="s">
        <v>177</v>
      </c>
      <c r="B14" s="24" t="s">
        <v>181</v>
      </c>
      <c r="C14" s="24" t="s">
        <v>184</v>
      </c>
      <c r="D14" s="24" t="s">
        <v>184</v>
      </c>
      <c r="E14" s="24" t="s">
        <v>187</v>
      </c>
      <c r="F14" s="24" t="s">
        <v>180</v>
      </c>
      <c r="G14" s="24" t="s">
        <v>179</v>
      </c>
      <c r="H14" s="24" t="s">
        <v>192</v>
      </c>
      <c r="I14" s="24" t="s">
        <v>195</v>
      </c>
      <c r="J14" s="24" t="s">
        <v>191</v>
      </c>
      <c r="K14" s="24" t="s">
        <v>189</v>
      </c>
      <c r="L14" s="24" t="s">
        <v>195</v>
      </c>
      <c r="M14" s="24" t="s">
        <v>185</v>
      </c>
      <c r="N14" s="24" t="s">
        <v>183</v>
      </c>
      <c r="O14" s="24" t="s">
        <v>185</v>
      </c>
      <c r="P14" s="24" t="s">
        <v>180</v>
      </c>
      <c r="Q14" s="24" t="s">
        <v>194</v>
      </c>
      <c r="R14" s="24" t="s">
        <v>183</v>
      </c>
      <c r="S14" s="24" t="s">
        <v>181</v>
      </c>
      <c r="T14" s="24" t="s">
        <v>180</v>
      </c>
      <c r="U14" s="24" t="s">
        <v>190</v>
      </c>
      <c r="V14" s="24" t="s">
        <v>189</v>
      </c>
      <c r="W14" s="24" t="s">
        <v>198</v>
      </c>
      <c r="X14" s="24" t="s">
        <v>180</v>
      </c>
      <c r="Y14" s="24" t="s">
        <v>185</v>
      </c>
      <c r="Z14" s="24" t="s">
        <v>186</v>
      </c>
      <c r="AA14" s="24" t="s">
        <v>180</v>
      </c>
      <c r="AB14" s="24" t="s">
        <v>181</v>
      </c>
      <c r="AC14" s="24" t="s">
        <v>181</v>
      </c>
      <c r="AD14" s="24" t="s">
        <v>186</v>
      </c>
      <c r="AE14" s="24" t="s">
        <v>187</v>
      </c>
      <c r="AF14" s="24" t="s">
        <v>193</v>
      </c>
      <c r="AG14" s="24" t="s">
        <v>194</v>
      </c>
      <c r="AH14" s="24" t="s">
        <v>194</v>
      </c>
      <c r="AI14" s="24" t="s">
        <v>197</v>
      </c>
      <c r="AJ14" s="24" t="s">
        <v>187</v>
      </c>
      <c r="AK14" s="24" t="s">
        <v>195</v>
      </c>
      <c r="AL14" s="24" t="s">
        <v>185</v>
      </c>
      <c r="AM14" s="24" t="s">
        <v>180</v>
      </c>
      <c r="AN14" s="24" t="s">
        <v>180</v>
      </c>
      <c r="AO14" s="24" t="s">
        <v>185</v>
      </c>
      <c r="AP14" s="24" t="s">
        <v>179</v>
      </c>
      <c r="AQ14" s="24" t="s">
        <v>187</v>
      </c>
      <c r="AR14" s="24" t="s">
        <v>179</v>
      </c>
      <c r="AS14" s="24" t="s">
        <v>188</v>
      </c>
      <c r="AT14" s="24" t="s">
        <v>179</v>
      </c>
    </row>
    <row r="15" spans="1:50" s="30" customFormat="1" x14ac:dyDescent="0.25">
      <c r="B15" s="24" t="s">
        <v>180</v>
      </c>
      <c r="C15" s="24" t="s">
        <v>187</v>
      </c>
      <c r="D15" s="24" t="s">
        <v>189</v>
      </c>
      <c r="E15" s="24" t="s">
        <v>183</v>
      </c>
      <c r="F15" s="24" t="s">
        <v>183</v>
      </c>
      <c r="G15" s="24" t="s">
        <v>181</v>
      </c>
      <c r="H15" s="24" t="s">
        <v>188</v>
      </c>
      <c r="I15" s="24" t="s">
        <v>187</v>
      </c>
      <c r="J15" s="24" t="s">
        <v>183</v>
      </c>
      <c r="K15" s="24" t="s">
        <v>182</v>
      </c>
      <c r="L15" s="24" t="s">
        <v>187</v>
      </c>
      <c r="M15" s="24" t="s">
        <v>188</v>
      </c>
      <c r="N15" s="24" t="s">
        <v>192</v>
      </c>
      <c r="O15" s="24" t="s">
        <v>182</v>
      </c>
      <c r="P15" s="24" t="s">
        <v>189</v>
      </c>
      <c r="Q15" s="24" t="s">
        <v>183</v>
      </c>
      <c r="R15" s="24" t="s">
        <v>187</v>
      </c>
      <c r="S15" s="24" t="s">
        <v>198</v>
      </c>
      <c r="T15" s="24" t="s">
        <v>183</v>
      </c>
      <c r="U15" s="24" t="s">
        <v>188</v>
      </c>
      <c r="V15" s="24" t="s">
        <v>190</v>
      </c>
      <c r="W15" s="24" t="s">
        <v>180</v>
      </c>
      <c r="X15" s="24" t="s">
        <v>194</v>
      </c>
      <c r="Y15" s="24" t="s">
        <v>183</v>
      </c>
      <c r="Z15" s="24" t="s">
        <v>183</v>
      </c>
      <c r="AA15" s="24" t="s">
        <v>181</v>
      </c>
      <c r="AB15" s="24" t="s">
        <v>180</v>
      </c>
      <c r="AC15" s="24" t="s">
        <v>184</v>
      </c>
      <c r="AD15" s="24" t="s">
        <v>198</v>
      </c>
      <c r="AE15" s="24" t="s">
        <v>196</v>
      </c>
      <c r="AF15" s="24" t="s">
        <v>195</v>
      </c>
      <c r="AG15" s="24" t="s">
        <v>188</v>
      </c>
      <c r="AH15" s="24" t="s">
        <v>180</v>
      </c>
      <c r="AI15" s="24" t="s">
        <v>189</v>
      </c>
      <c r="AJ15" s="24" t="s">
        <v>196</v>
      </c>
      <c r="AK15" s="24" t="s">
        <v>194</v>
      </c>
      <c r="AL15" s="24" t="s">
        <v>187</v>
      </c>
      <c r="AM15" s="24" t="s">
        <v>187</v>
      </c>
      <c r="AN15" s="24" t="s">
        <v>185</v>
      </c>
      <c r="AO15" s="24" t="s">
        <v>186</v>
      </c>
      <c r="AP15" s="24" t="s">
        <v>192</v>
      </c>
      <c r="AQ15" s="24" t="s">
        <v>179</v>
      </c>
      <c r="AR15" s="24" t="s">
        <v>191</v>
      </c>
      <c r="AS15" s="24" t="s">
        <v>185</v>
      </c>
      <c r="AT15" s="24" t="s">
        <v>180</v>
      </c>
    </row>
    <row r="16" spans="1:50" s="30" customFormat="1" x14ac:dyDescent="0.25">
      <c r="B16" s="24" t="s">
        <v>188</v>
      </c>
      <c r="C16" s="24" t="s">
        <v>198</v>
      </c>
      <c r="D16" s="24" t="s">
        <v>194</v>
      </c>
      <c r="E16" s="24" t="s">
        <v>193</v>
      </c>
      <c r="F16" s="24" t="s">
        <v>188</v>
      </c>
      <c r="G16" s="24" t="s">
        <v>186</v>
      </c>
      <c r="H16" s="24" t="s">
        <v>191</v>
      </c>
      <c r="I16" s="24" t="s">
        <v>183</v>
      </c>
      <c r="J16" s="24" t="s">
        <v>196</v>
      </c>
      <c r="K16" s="24" t="s">
        <v>183</v>
      </c>
      <c r="L16" s="24" t="s">
        <v>191</v>
      </c>
      <c r="M16" s="24" t="s">
        <v>181</v>
      </c>
      <c r="N16" s="24" t="s">
        <v>191</v>
      </c>
      <c r="O16" s="24" t="s">
        <v>198</v>
      </c>
      <c r="P16" s="24" t="s">
        <v>194</v>
      </c>
      <c r="R16" s="24" t="s">
        <v>184</v>
      </c>
      <c r="S16" s="24" t="s">
        <v>185</v>
      </c>
      <c r="T16" s="24" t="s">
        <v>187</v>
      </c>
      <c r="U16" s="24" t="s">
        <v>181</v>
      </c>
      <c r="V16" s="24" t="s">
        <v>196</v>
      </c>
      <c r="W16" s="24" t="s">
        <v>184</v>
      </c>
      <c r="X16" s="24" t="s">
        <v>184</v>
      </c>
      <c r="Y16" s="24" t="s">
        <v>179</v>
      </c>
      <c r="Z16" s="24" t="s">
        <v>194</v>
      </c>
      <c r="AA16" s="24" t="s">
        <v>194</v>
      </c>
      <c r="AB16" s="24" t="s">
        <v>194</v>
      </c>
      <c r="AC16" s="24" t="s">
        <v>186</v>
      </c>
      <c r="AD16" s="24" t="s">
        <v>183</v>
      </c>
      <c r="AE16" s="24" t="s">
        <v>183</v>
      </c>
      <c r="AF16" s="24" t="s">
        <v>196</v>
      </c>
      <c r="AG16" s="24" t="s">
        <v>180</v>
      </c>
      <c r="AH16" s="24" t="s">
        <v>181</v>
      </c>
      <c r="AI16" s="24" t="s">
        <v>184</v>
      </c>
      <c r="AJ16" s="24" t="s">
        <v>191</v>
      </c>
      <c r="AK16" s="24" t="s">
        <v>189</v>
      </c>
      <c r="AL16" s="24" t="s">
        <v>179</v>
      </c>
      <c r="AM16" s="24" t="s">
        <v>194</v>
      </c>
      <c r="AN16" s="24" t="s">
        <v>190</v>
      </c>
      <c r="AO16" s="24" t="s">
        <v>194</v>
      </c>
      <c r="AP16" s="24" t="s">
        <v>190</v>
      </c>
      <c r="AQ16" s="24" t="s">
        <v>193</v>
      </c>
      <c r="AR16" s="24" t="s">
        <v>187</v>
      </c>
      <c r="AS16" s="24" t="s">
        <v>180</v>
      </c>
      <c r="AT16" s="24" t="s">
        <v>181</v>
      </c>
    </row>
    <row r="17" spans="1:46" s="30" customFormat="1" x14ac:dyDescent="0.25">
      <c r="B17" s="24" t="s">
        <v>198</v>
      </c>
      <c r="C17" s="24" t="s">
        <v>183</v>
      </c>
      <c r="D17" s="24" t="s">
        <v>183</v>
      </c>
      <c r="E17" s="24" t="s">
        <v>181</v>
      </c>
      <c r="F17" s="24" t="s">
        <v>181</v>
      </c>
      <c r="G17" s="24" t="s">
        <v>188</v>
      </c>
      <c r="H17" s="24" t="s">
        <v>194</v>
      </c>
      <c r="I17" s="24" t="s">
        <v>194</v>
      </c>
      <c r="J17" s="24" t="s">
        <v>192</v>
      </c>
      <c r="K17" s="24" t="s">
        <v>185</v>
      </c>
      <c r="L17" s="24" t="s">
        <v>198</v>
      </c>
      <c r="M17" s="24" t="s">
        <v>180</v>
      </c>
      <c r="N17" s="24" t="s">
        <v>188</v>
      </c>
      <c r="O17" s="24" t="s">
        <v>183</v>
      </c>
      <c r="P17" s="24" t="s">
        <v>183</v>
      </c>
      <c r="Q17" s="24" t="s">
        <v>187</v>
      </c>
      <c r="R17" s="24" t="s">
        <v>198</v>
      </c>
      <c r="S17" s="24" t="s">
        <v>189</v>
      </c>
      <c r="T17" s="24" t="s">
        <v>186</v>
      </c>
      <c r="U17" s="24" t="s">
        <v>195</v>
      </c>
      <c r="V17" s="24" t="s">
        <v>183</v>
      </c>
      <c r="W17" s="24" t="s">
        <v>191</v>
      </c>
      <c r="X17" s="24" t="s">
        <v>187</v>
      </c>
      <c r="Y17" s="24" t="s">
        <v>189</v>
      </c>
      <c r="Z17" s="24" t="s">
        <v>193</v>
      </c>
      <c r="AA17" s="24" t="s">
        <v>186</v>
      </c>
      <c r="AB17" s="24" t="s">
        <v>186</v>
      </c>
      <c r="AC17" s="24" t="s">
        <v>183</v>
      </c>
      <c r="AD17" s="24" t="s">
        <v>181</v>
      </c>
      <c r="AE17" s="24" t="s">
        <v>190</v>
      </c>
      <c r="AF17" s="24" t="s">
        <v>188</v>
      </c>
      <c r="AG17" s="24" t="s">
        <v>189</v>
      </c>
      <c r="AH17" s="24" t="s">
        <v>186</v>
      </c>
      <c r="AI17" s="24" t="s">
        <v>191</v>
      </c>
      <c r="AJ17" s="24" t="s">
        <v>183</v>
      </c>
      <c r="AK17" s="24" t="s">
        <v>184</v>
      </c>
      <c r="AL17" s="24" t="s">
        <v>186</v>
      </c>
      <c r="AM17" s="24" t="s">
        <v>186</v>
      </c>
      <c r="AN17" s="24" t="s">
        <v>186</v>
      </c>
      <c r="AO17" s="24" t="s">
        <v>187</v>
      </c>
      <c r="AP17" s="24" t="s">
        <v>185</v>
      </c>
      <c r="AQ17" s="24" t="s">
        <v>182</v>
      </c>
      <c r="AR17" s="24" t="s">
        <v>183</v>
      </c>
      <c r="AS17" s="24" t="s">
        <v>189</v>
      </c>
      <c r="AT17" s="24" t="s">
        <v>182</v>
      </c>
    </row>
    <row r="18" spans="1:46" s="22" customFormat="1" x14ac:dyDescent="0.25">
      <c r="B18" s="22" t="s">
        <v>186</v>
      </c>
      <c r="C18" s="22" t="s">
        <v>186</v>
      </c>
      <c r="D18" s="22" t="s">
        <v>186</v>
      </c>
      <c r="F18" s="22" t="s">
        <v>185</v>
      </c>
      <c r="G18" s="22" t="s">
        <v>183</v>
      </c>
      <c r="H18" s="22" t="s">
        <v>190</v>
      </c>
      <c r="J18" s="22" t="s">
        <v>198</v>
      </c>
      <c r="K18" s="22" t="s">
        <v>191</v>
      </c>
      <c r="L18" s="22" t="s">
        <v>183</v>
      </c>
      <c r="M18" s="22" t="s">
        <v>194</v>
      </c>
      <c r="N18" s="22" t="s">
        <v>198</v>
      </c>
      <c r="O18" s="22" t="s">
        <v>193</v>
      </c>
      <c r="P18" s="22" t="s">
        <v>186</v>
      </c>
      <c r="Q18" s="22" t="s">
        <v>182</v>
      </c>
      <c r="R18" s="22" t="s">
        <v>186</v>
      </c>
      <c r="S18" s="22" t="s">
        <v>188</v>
      </c>
      <c r="T18" s="22" t="s">
        <v>188</v>
      </c>
      <c r="U18" s="22" t="s">
        <v>183</v>
      </c>
      <c r="V18" s="22" t="s">
        <v>186</v>
      </c>
      <c r="W18" s="22" t="s">
        <v>181</v>
      </c>
      <c r="X18" s="22" t="s">
        <v>186</v>
      </c>
      <c r="Y18" s="22" t="s">
        <v>186</v>
      </c>
      <c r="Z18" s="22" t="s">
        <v>184</v>
      </c>
      <c r="AA18" s="22" t="s">
        <v>183</v>
      </c>
      <c r="AB18" s="22" t="s">
        <v>183</v>
      </c>
      <c r="AC18" s="22" t="s">
        <v>196</v>
      </c>
      <c r="AE18" s="22" t="s">
        <v>186</v>
      </c>
      <c r="AF18" s="22" t="s">
        <v>183</v>
      </c>
      <c r="AG18" s="22" t="s">
        <v>183</v>
      </c>
      <c r="AH18" s="22" t="s">
        <v>187</v>
      </c>
      <c r="AI18" s="22" t="s">
        <v>196</v>
      </c>
      <c r="AJ18" s="22" t="s">
        <v>179</v>
      </c>
      <c r="AK18" s="22" t="s">
        <v>183</v>
      </c>
      <c r="AL18" s="22" t="s">
        <v>183</v>
      </c>
      <c r="AO18" s="22" t="s">
        <v>183</v>
      </c>
      <c r="AP18" s="22" t="s">
        <v>183</v>
      </c>
      <c r="AQ18" s="22" t="s">
        <v>189</v>
      </c>
      <c r="AR18" s="22" t="s">
        <v>190</v>
      </c>
      <c r="AS18" s="22" t="s">
        <v>187</v>
      </c>
      <c r="AT18" s="22" t="s">
        <v>183</v>
      </c>
    </row>
    <row r="19" spans="1:46" s="30" customFormat="1" x14ac:dyDescent="0.25">
      <c r="A19" s="29" t="s">
        <v>178</v>
      </c>
      <c r="B19" s="24" t="s">
        <v>192</v>
      </c>
      <c r="C19" s="24" t="s">
        <v>195</v>
      </c>
      <c r="E19" s="24" t="s">
        <v>185</v>
      </c>
      <c r="F19" s="24" t="s">
        <v>189</v>
      </c>
      <c r="G19" s="24" t="s">
        <v>192</v>
      </c>
      <c r="H19" s="24" t="s">
        <v>192</v>
      </c>
      <c r="I19" s="24" t="s">
        <v>188</v>
      </c>
      <c r="J19" s="24" t="s">
        <v>195</v>
      </c>
      <c r="K19" s="24" t="s">
        <v>188</v>
      </c>
      <c r="L19" s="24" t="s">
        <v>195</v>
      </c>
      <c r="M19" s="24" t="s">
        <v>192</v>
      </c>
      <c r="N19" s="24" t="s">
        <v>185</v>
      </c>
      <c r="O19" s="24" t="s">
        <v>185</v>
      </c>
      <c r="P19" s="24" t="s">
        <v>191</v>
      </c>
      <c r="Q19" s="24" t="s">
        <v>180</v>
      </c>
      <c r="R19" s="24" t="s">
        <v>180</v>
      </c>
      <c r="S19" s="24" t="s">
        <v>196</v>
      </c>
      <c r="T19" s="24" t="s">
        <v>187</v>
      </c>
      <c r="U19" s="24" t="s">
        <v>184</v>
      </c>
      <c r="V19" s="24" t="s">
        <v>194</v>
      </c>
      <c r="W19" s="24" t="s">
        <v>180</v>
      </c>
      <c r="X19" s="24" t="s">
        <v>198</v>
      </c>
      <c r="Y19" s="24" t="s">
        <v>192</v>
      </c>
      <c r="Z19" s="24" t="s">
        <v>186</v>
      </c>
      <c r="AA19" s="24" t="s">
        <v>194</v>
      </c>
      <c r="AB19" s="24" t="s">
        <v>180</v>
      </c>
      <c r="AC19" s="24" t="s">
        <v>194</v>
      </c>
      <c r="AD19" s="24" t="s">
        <v>191</v>
      </c>
      <c r="AE19" s="24" t="s">
        <v>195</v>
      </c>
      <c r="AF19" s="24" t="s">
        <v>194</v>
      </c>
      <c r="AG19" s="24" t="s">
        <v>194</v>
      </c>
      <c r="AH19" s="24" t="s">
        <v>191</v>
      </c>
      <c r="AI19" s="24" t="s">
        <v>187</v>
      </c>
      <c r="AJ19" s="24" t="s">
        <v>188</v>
      </c>
      <c r="AK19" s="24" t="s">
        <v>185</v>
      </c>
      <c r="AL19" s="24" t="s">
        <v>195</v>
      </c>
      <c r="AM19" s="24" t="s">
        <v>183</v>
      </c>
      <c r="AN19" s="24" t="s">
        <v>186</v>
      </c>
      <c r="AO19" s="24" t="s">
        <v>195</v>
      </c>
      <c r="AP19" s="24" t="s">
        <v>188</v>
      </c>
      <c r="AQ19" s="24" t="s">
        <v>185</v>
      </c>
      <c r="AR19" s="24" t="s">
        <v>192</v>
      </c>
      <c r="AS19" s="24" t="s">
        <v>190</v>
      </c>
      <c r="AT19" s="24" t="s">
        <v>184</v>
      </c>
    </row>
    <row r="20" spans="1:46" s="30" customFormat="1" x14ac:dyDescent="0.25">
      <c r="B20" s="24" t="s">
        <v>194</v>
      </c>
      <c r="C20" s="24" t="s">
        <v>196</v>
      </c>
      <c r="D20" s="24" t="s">
        <v>189</v>
      </c>
      <c r="E20" s="24" t="s">
        <v>181</v>
      </c>
      <c r="F20" s="24" t="s">
        <v>193</v>
      </c>
      <c r="G20" s="24" t="s">
        <v>193</v>
      </c>
      <c r="H20" s="24" t="s">
        <v>188</v>
      </c>
      <c r="I20" s="24" t="s">
        <v>198</v>
      </c>
      <c r="J20" s="24" t="s">
        <v>194</v>
      </c>
      <c r="K20" s="24" t="s">
        <v>181</v>
      </c>
      <c r="L20" s="24" t="s">
        <v>192</v>
      </c>
      <c r="M20" s="24" t="s">
        <v>183</v>
      </c>
      <c r="N20" s="24" t="s">
        <v>183</v>
      </c>
      <c r="O20" s="24" t="s">
        <v>194</v>
      </c>
      <c r="P20" s="24" t="s">
        <v>196</v>
      </c>
      <c r="Q20" s="24" t="s">
        <v>183</v>
      </c>
      <c r="R20" s="24" t="s">
        <v>194</v>
      </c>
      <c r="S20" s="24" t="s">
        <v>188</v>
      </c>
      <c r="T20" s="24" t="s">
        <v>195</v>
      </c>
      <c r="U20" s="24" t="s">
        <v>181</v>
      </c>
      <c r="V20" s="24" t="s">
        <v>189</v>
      </c>
      <c r="W20" s="24" t="s">
        <v>187</v>
      </c>
      <c r="X20" s="24" t="s">
        <v>185</v>
      </c>
      <c r="Y20" s="24" t="s">
        <v>179</v>
      </c>
      <c r="Z20" s="24" t="s">
        <v>193</v>
      </c>
      <c r="AA20" s="24" t="s">
        <v>188</v>
      </c>
      <c r="AB20" s="24" t="s">
        <v>183</v>
      </c>
      <c r="AC20" s="24" t="s">
        <v>180</v>
      </c>
      <c r="AD20" s="24" t="s">
        <v>193</v>
      </c>
      <c r="AE20" s="24" t="s">
        <v>193</v>
      </c>
      <c r="AF20" s="24" t="s">
        <v>195</v>
      </c>
      <c r="AG20" s="24" t="s">
        <v>193</v>
      </c>
      <c r="AH20" s="24" t="s">
        <v>196</v>
      </c>
      <c r="AI20" s="24" t="s">
        <v>182</v>
      </c>
      <c r="AJ20" s="24" t="s">
        <v>185</v>
      </c>
      <c r="AK20" s="24" t="s">
        <v>191</v>
      </c>
      <c r="AL20" s="24" t="s">
        <v>180</v>
      </c>
      <c r="AM20" s="24" t="s">
        <v>187</v>
      </c>
      <c r="AN20" s="24" t="s">
        <v>192</v>
      </c>
      <c r="AO20" s="24" t="s">
        <v>196</v>
      </c>
      <c r="AP20" s="24" t="s">
        <v>191</v>
      </c>
      <c r="AQ20" s="24" t="s">
        <v>194</v>
      </c>
      <c r="AR20" s="24" t="s">
        <v>185</v>
      </c>
      <c r="AS20" s="24" t="s">
        <v>184</v>
      </c>
      <c r="AT20" s="24" t="s">
        <v>179</v>
      </c>
    </row>
    <row r="21" spans="1:46" s="30" customFormat="1" x14ac:dyDescent="0.25">
      <c r="B21" s="24" t="s">
        <v>180</v>
      </c>
      <c r="C21" s="24" t="s">
        <v>192</v>
      </c>
      <c r="E21" s="24" t="s">
        <v>184</v>
      </c>
      <c r="F21" s="24" t="s">
        <v>187</v>
      </c>
      <c r="G21" s="24" t="s">
        <v>195</v>
      </c>
      <c r="H21" s="24" t="s">
        <v>190</v>
      </c>
      <c r="I21" s="24" t="s">
        <v>193</v>
      </c>
      <c r="J21" s="24" t="s">
        <v>183</v>
      </c>
      <c r="K21" s="24" t="s">
        <v>183</v>
      </c>
      <c r="L21" s="24" t="s">
        <v>183</v>
      </c>
      <c r="M21" s="24" t="s">
        <v>194</v>
      </c>
      <c r="N21" s="24" t="s">
        <v>198</v>
      </c>
      <c r="O21" s="24" t="s">
        <v>183</v>
      </c>
      <c r="P21" s="24" t="s">
        <v>194</v>
      </c>
      <c r="Q21" s="24" t="s">
        <v>192</v>
      </c>
      <c r="R21" s="24" t="s">
        <v>188</v>
      </c>
      <c r="S21" s="24" t="s">
        <v>181</v>
      </c>
      <c r="T21" s="24" t="s">
        <v>196</v>
      </c>
      <c r="U21" s="24" t="s">
        <v>195</v>
      </c>
      <c r="V21" s="24" t="s">
        <v>184</v>
      </c>
      <c r="W21" s="24" t="s">
        <v>186</v>
      </c>
      <c r="X21" s="24" t="s">
        <v>192</v>
      </c>
      <c r="Y21" s="24" t="s">
        <v>195</v>
      </c>
      <c r="Z21" s="24" t="s">
        <v>194</v>
      </c>
      <c r="AA21" s="24" t="s">
        <v>180</v>
      </c>
      <c r="AB21" s="24" t="s">
        <v>198</v>
      </c>
      <c r="AC21" s="24" t="s">
        <v>186</v>
      </c>
      <c r="AD21" s="24" t="s">
        <v>179</v>
      </c>
      <c r="AE21" s="24" t="s">
        <v>182</v>
      </c>
      <c r="AF21" s="24" t="s">
        <v>186</v>
      </c>
      <c r="AG21" s="24" t="s">
        <v>189</v>
      </c>
      <c r="AH21" s="24" t="s">
        <v>187</v>
      </c>
      <c r="AI21" s="24" t="s">
        <v>186</v>
      </c>
      <c r="AJ21" s="24" t="s">
        <v>187</v>
      </c>
      <c r="AK21" s="24" t="s">
        <v>187</v>
      </c>
      <c r="AL21" s="24" t="s">
        <v>189</v>
      </c>
      <c r="AM21" s="24" t="s">
        <v>188</v>
      </c>
      <c r="AN21" s="24" t="s">
        <v>197</v>
      </c>
      <c r="AO21" s="24" t="s">
        <v>192</v>
      </c>
      <c r="AP21" s="24" t="s">
        <v>194</v>
      </c>
      <c r="AQ21" s="24" t="s">
        <v>195</v>
      </c>
      <c r="AR21" s="24" t="s">
        <v>182</v>
      </c>
      <c r="AS21" s="24" t="s">
        <v>189</v>
      </c>
      <c r="AT21" s="24" t="s">
        <v>185</v>
      </c>
    </row>
    <row r="22" spans="1:46" s="30" customFormat="1" x14ac:dyDescent="0.25">
      <c r="B22" s="24" t="s">
        <v>196</v>
      </c>
      <c r="C22" s="24" t="s">
        <v>188</v>
      </c>
      <c r="D22" s="30" t="s">
        <v>186</v>
      </c>
      <c r="E22" s="24" t="s">
        <v>191</v>
      </c>
      <c r="F22" s="24" t="s">
        <v>192</v>
      </c>
      <c r="G22" s="24" t="s">
        <v>194</v>
      </c>
      <c r="H22" s="24" t="s">
        <v>191</v>
      </c>
      <c r="I22" s="24" t="s">
        <v>186</v>
      </c>
      <c r="J22" s="24" t="s">
        <v>187</v>
      </c>
      <c r="L22" s="24" t="s">
        <v>196</v>
      </c>
      <c r="M22" s="24" t="s">
        <v>185</v>
      </c>
      <c r="N22" s="24" t="s">
        <v>184</v>
      </c>
      <c r="O22" s="24" t="s">
        <v>180</v>
      </c>
      <c r="P22" s="24" t="s">
        <v>183</v>
      </c>
      <c r="Q22" s="24" t="s">
        <v>186</v>
      </c>
      <c r="R22" s="24" t="s">
        <v>181</v>
      </c>
      <c r="S22" s="24" t="s">
        <v>186</v>
      </c>
      <c r="T22" s="24" t="s">
        <v>185</v>
      </c>
      <c r="U22" s="24" t="s">
        <v>196</v>
      </c>
      <c r="V22" s="24" t="s">
        <v>186</v>
      </c>
      <c r="W22" s="24" t="s">
        <v>194</v>
      </c>
      <c r="X22" s="24" t="s">
        <v>189</v>
      </c>
      <c r="Y22" s="24" t="s">
        <v>188</v>
      </c>
      <c r="Z22" s="24" t="s">
        <v>180</v>
      </c>
      <c r="AA22" s="24" t="s">
        <v>187</v>
      </c>
      <c r="AB22" s="24" t="s">
        <v>192</v>
      </c>
      <c r="AC22" s="24" t="s">
        <v>188</v>
      </c>
      <c r="AD22" s="24" t="s">
        <v>12</v>
      </c>
      <c r="AE22" s="24" t="s">
        <v>186</v>
      </c>
      <c r="AF22" s="24" t="s">
        <v>182</v>
      </c>
      <c r="AG22" s="24" t="s">
        <v>186</v>
      </c>
      <c r="AH22" s="24" t="s">
        <v>179</v>
      </c>
      <c r="AI22" s="24" t="s">
        <v>198</v>
      </c>
      <c r="AJ22" s="24" t="s">
        <v>183</v>
      </c>
      <c r="AK22" s="24" t="s">
        <v>193</v>
      </c>
      <c r="AL22" s="24" t="s">
        <v>187</v>
      </c>
      <c r="AM22" s="24" t="s">
        <v>195</v>
      </c>
      <c r="AN22" s="24" t="s">
        <v>184</v>
      </c>
      <c r="AO22" s="24" t="s">
        <v>189</v>
      </c>
      <c r="AP22" s="24" t="s">
        <v>187</v>
      </c>
      <c r="AQ22" s="24" t="s">
        <v>189</v>
      </c>
      <c r="AR22" s="24" t="s">
        <v>184</v>
      </c>
      <c r="AS22" s="24" t="s">
        <v>183</v>
      </c>
      <c r="AT22" s="24" t="s">
        <v>186</v>
      </c>
    </row>
    <row r="23" spans="1:46" s="22" customFormat="1" x14ac:dyDescent="0.25">
      <c r="B23" s="22" t="s">
        <v>183</v>
      </c>
      <c r="C23" s="22" t="s">
        <v>183</v>
      </c>
      <c r="D23" s="22" t="s">
        <v>183</v>
      </c>
      <c r="E23" s="22" t="s">
        <v>183</v>
      </c>
      <c r="F23" s="22" t="s">
        <v>181</v>
      </c>
      <c r="G23" s="22" t="s">
        <v>183</v>
      </c>
      <c r="H23" s="22" t="s">
        <v>194</v>
      </c>
      <c r="I23" s="22" t="s">
        <v>183</v>
      </c>
      <c r="K23" s="22" t="s">
        <v>184</v>
      </c>
      <c r="L23" s="22" t="s">
        <v>186</v>
      </c>
      <c r="M23" s="22" t="s">
        <v>186</v>
      </c>
      <c r="R23" s="22" t="s">
        <v>183</v>
      </c>
      <c r="S23" s="22" t="s">
        <v>183</v>
      </c>
      <c r="T23" s="22" t="s">
        <v>183</v>
      </c>
      <c r="U23" s="22" t="s">
        <v>186</v>
      </c>
      <c r="V23" s="22" t="s">
        <v>187</v>
      </c>
      <c r="W23" s="22" t="s">
        <v>183</v>
      </c>
      <c r="X23" s="22" t="s">
        <v>188</v>
      </c>
      <c r="Y23" s="22" t="s">
        <v>183</v>
      </c>
      <c r="Z23" s="22" t="s">
        <v>183</v>
      </c>
      <c r="AA23" s="22" t="s">
        <v>196</v>
      </c>
      <c r="AB23" s="22" t="s">
        <v>184</v>
      </c>
      <c r="AC23" s="22" t="s">
        <v>181</v>
      </c>
      <c r="AD23" s="22" t="s">
        <v>183</v>
      </c>
      <c r="AE23" s="22" t="s">
        <v>183</v>
      </c>
      <c r="AF23" s="22" t="s">
        <v>187</v>
      </c>
      <c r="AG23" s="22" t="s">
        <v>187</v>
      </c>
      <c r="AH23" s="22" t="s">
        <v>183</v>
      </c>
      <c r="AI23" s="22" t="s">
        <v>180</v>
      </c>
      <c r="AJ23" s="22" t="s">
        <v>186</v>
      </c>
      <c r="AK23" s="22" t="s">
        <v>186</v>
      </c>
      <c r="AL23" s="22" t="s">
        <v>196</v>
      </c>
      <c r="AM23" s="22" t="s">
        <v>196</v>
      </c>
      <c r="AN23" s="22" t="s">
        <v>180</v>
      </c>
      <c r="AO23" s="22" t="s">
        <v>183</v>
      </c>
      <c r="AP23" s="22" t="s">
        <v>183</v>
      </c>
      <c r="AQ23" s="22" t="s">
        <v>188</v>
      </c>
      <c r="AR23" s="22" t="s">
        <v>186</v>
      </c>
      <c r="AS23" s="22" t="s">
        <v>186</v>
      </c>
      <c r="AT23" s="22" t="s">
        <v>187</v>
      </c>
    </row>
    <row r="26" spans="1:46" x14ac:dyDescent="0.25">
      <c r="A26" s="3" t="s">
        <v>132</v>
      </c>
    </row>
    <row r="27" spans="1:46" ht="15.75" thickBot="1" x14ac:dyDescent="0.3">
      <c r="A27" s="3" t="s">
        <v>27</v>
      </c>
      <c r="B27" s="1" t="s">
        <v>133</v>
      </c>
      <c r="C27" s="1" t="s">
        <v>33</v>
      </c>
      <c r="D27" s="1" t="s">
        <v>34</v>
      </c>
    </row>
    <row r="28" spans="1:46" ht="15.75" thickBot="1" x14ac:dyDescent="0.3">
      <c r="A28" s="1" t="s">
        <v>3</v>
      </c>
      <c r="B28" s="7">
        <v>0.55813953488372092</v>
      </c>
      <c r="C28" s="1">
        <v>24</v>
      </c>
      <c r="D28" s="9">
        <v>43</v>
      </c>
      <c r="M28" s="41" t="s">
        <v>145</v>
      </c>
      <c r="N28" s="42"/>
      <c r="AS28" s="2"/>
      <c r="AT28" s="5"/>
    </row>
    <row r="29" spans="1:46" x14ac:dyDescent="0.25">
      <c r="A29" s="1" t="s">
        <v>18</v>
      </c>
      <c r="B29" s="7">
        <v>0.33333333333333331</v>
      </c>
      <c r="C29" s="1">
        <v>3</v>
      </c>
      <c r="D29" s="9">
        <v>9</v>
      </c>
      <c r="M29" s="35"/>
      <c r="N29" s="36"/>
      <c r="AS29" s="2"/>
      <c r="AT29" s="5"/>
    </row>
    <row r="30" spans="1:46" x14ac:dyDescent="0.25">
      <c r="A30" s="1" t="s">
        <v>16</v>
      </c>
      <c r="B30" s="7">
        <v>0.43243243243243246</v>
      </c>
      <c r="C30" s="1">
        <v>16</v>
      </c>
      <c r="D30" s="9">
        <v>37</v>
      </c>
      <c r="M30" s="37"/>
      <c r="N30" s="38"/>
      <c r="AS30" s="2"/>
      <c r="AT30" s="5"/>
    </row>
    <row r="31" spans="1:46" x14ac:dyDescent="0.25">
      <c r="A31" s="1" t="s">
        <v>22</v>
      </c>
      <c r="B31" s="7">
        <v>0.48648648648648651</v>
      </c>
      <c r="C31" s="1">
        <v>18</v>
      </c>
      <c r="D31" s="9">
        <v>37</v>
      </c>
      <c r="M31" s="37"/>
      <c r="N31" s="38"/>
      <c r="AS31" s="2"/>
      <c r="AT31" s="5"/>
    </row>
    <row r="32" spans="1:46" ht="15.75" thickBot="1" x14ac:dyDescent="0.3">
      <c r="A32" s="1" t="s">
        <v>4</v>
      </c>
      <c r="B32" s="7">
        <v>0.5957446808510638</v>
      </c>
      <c r="C32" s="1">
        <v>28</v>
      </c>
      <c r="D32" s="9">
        <v>47</v>
      </c>
      <c r="M32" s="39"/>
      <c r="N32" s="40"/>
      <c r="AS32" s="2"/>
      <c r="AT32" s="5"/>
    </row>
    <row r="33" spans="1:46" x14ac:dyDescent="0.25">
      <c r="A33" s="1" t="s">
        <v>6</v>
      </c>
      <c r="B33" s="7">
        <v>0.57499999999999996</v>
      </c>
      <c r="C33" s="1">
        <v>23</v>
      </c>
      <c r="D33" s="9">
        <v>40</v>
      </c>
      <c r="AS33" s="2"/>
      <c r="AT33" s="5"/>
    </row>
    <row r="34" spans="1:46" x14ac:dyDescent="0.25">
      <c r="A34" s="1" t="s">
        <v>5</v>
      </c>
      <c r="B34" s="7">
        <v>0.51063829787234039</v>
      </c>
      <c r="C34" s="1">
        <v>24</v>
      </c>
      <c r="D34" s="9">
        <v>47</v>
      </c>
      <c r="AS34" s="2"/>
      <c r="AT34" s="5"/>
    </row>
    <row r="35" spans="1:46" x14ac:dyDescent="0.25">
      <c r="A35" s="1" t="s">
        <v>8</v>
      </c>
      <c r="B35" s="7">
        <v>0.46666666666666667</v>
      </c>
      <c r="C35" s="1">
        <v>14</v>
      </c>
      <c r="D35" s="9">
        <v>30</v>
      </c>
      <c r="AS35" s="2"/>
      <c r="AT35" s="5"/>
    </row>
    <row r="36" spans="1:46" x14ac:dyDescent="0.25">
      <c r="A36" s="1" t="s">
        <v>12</v>
      </c>
      <c r="B36" s="7">
        <v>0.48936170212765956</v>
      </c>
      <c r="C36" s="1">
        <v>23</v>
      </c>
      <c r="D36" s="9">
        <v>47</v>
      </c>
      <c r="AS36" s="2"/>
      <c r="AT36" s="5"/>
    </row>
    <row r="37" spans="1:46" x14ac:dyDescent="0.25">
      <c r="A37" s="2" t="s">
        <v>23</v>
      </c>
      <c r="B37" s="7">
        <v>0.42307692307692307</v>
      </c>
      <c r="C37" s="1">
        <v>11</v>
      </c>
      <c r="D37" s="9">
        <v>26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AS37" s="2"/>
      <c r="AT37" s="5"/>
    </row>
    <row r="38" spans="1:46" x14ac:dyDescent="0.25">
      <c r="A38" s="1" t="s">
        <v>11</v>
      </c>
      <c r="B38" s="7">
        <v>0.56000000000000005</v>
      </c>
      <c r="C38" s="1">
        <v>14</v>
      </c>
      <c r="D38" s="9">
        <v>25</v>
      </c>
      <c r="AS38" s="2"/>
      <c r="AT38" s="5"/>
    </row>
    <row r="39" spans="1:46" x14ac:dyDescent="0.25">
      <c r="A39" s="1" t="s">
        <v>9</v>
      </c>
      <c r="B39" s="7">
        <v>0.33333333333333331</v>
      </c>
      <c r="C39" s="1">
        <v>8</v>
      </c>
      <c r="D39" s="9">
        <v>24</v>
      </c>
      <c r="AS39" s="2"/>
      <c r="AT39" s="5"/>
    </row>
    <row r="40" spans="1:46" x14ac:dyDescent="0.25">
      <c r="A40" s="1" t="s">
        <v>24</v>
      </c>
      <c r="B40" s="7">
        <v>0.36842105263157893</v>
      </c>
      <c r="C40" s="1">
        <v>7</v>
      </c>
      <c r="D40" s="9">
        <v>19</v>
      </c>
      <c r="AS40" s="2"/>
      <c r="AT40" s="5"/>
    </row>
    <row r="41" spans="1:46" x14ac:dyDescent="0.25">
      <c r="A41" s="1" t="s">
        <v>26</v>
      </c>
      <c r="B41" s="7">
        <v>0.42857142857142855</v>
      </c>
      <c r="C41" s="1">
        <v>3</v>
      </c>
      <c r="D41" s="9">
        <v>7</v>
      </c>
      <c r="AS41" s="2"/>
      <c r="AT41" s="5"/>
    </row>
    <row r="42" spans="1:46" x14ac:dyDescent="0.25">
      <c r="A42" s="1" t="s">
        <v>7</v>
      </c>
      <c r="B42" s="7">
        <v>0.71875</v>
      </c>
      <c r="C42" s="1">
        <v>23</v>
      </c>
      <c r="D42" s="9">
        <v>32</v>
      </c>
      <c r="AS42" s="2"/>
      <c r="AT42" s="5"/>
    </row>
    <row r="43" spans="1:46" x14ac:dyDescent="0.25">
      <c r="A43" s="1" t="s">
        <v>10</v>
      </c>
      <c r="B43" s="7">
        <v>0</v>
      </c>
      <c r="C43" s="1">
        <v>0</v>
      </c>
      <c r="D43" s="9">
        <v>4</v>
      </c>
      <c r="AS43" s="2"/>
      <c r="AT43" s="5"/>
    </row>
    <row r="44" spans="1:46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6" spans="1:46" x14ac:dyDescent="0.25">
      <c r="A46" s="3" t="s">
        <v>30</v>
      </c>
    </row>
    <row r="47" spans="1:46" x14ac:dyDescent="0.25">
      <c r="B47" s="1" t="s">
        <v>3</v>
      </c>
      <c r="C47" s="1" t="s">
        <v>18</v>
      </c>
      <c r="D47" s="1" t="s">
        <v>16</v>
      </c>
      <c r="E47" s="1" t="s">
        <v>22</v>
      </c>
      <c r="F47" s="1" t="s">
        <v>4</v>
      </c>
      <c r="G47" s="1" t="s">
        <v>6</v>
      </c>
      <c r="H47" s="1" t="s">
        <v>5</v>
      </c>
      <c r="I47" s="1" t="s">
        <v>8</v>
      </c>
      <c r="J47" s="1" t="s">
        <v>12</v>
      </c>
      <c r="K47" s="2" t="s">
        <v>23</v>
      </c>
      <c r="L47" s="2" t="s">
        <v>11</v>
      </c>
      <c r="M47" s="1" t="s">
        <v>9</v>
      </c>
      <c r="N47" s="1" t="s">
        <v>24</v>
      </c>
      <c r="O47" s="1" t="s">
        <v>26</v>
      </c>
      <c r="P47" s="1" t="s">
        <v>7</v>
      </c>
      <c r="Q47" s="1" t="s">
        <v>10</v>
      </c>
    </row>
    <row r="48" spans="1:46" x14ac:dyDescent="0.25">
      <c r="A48" s="1" t="s">
        <v>3</v>
      </c>
      <c r="B48" s="1">
        <v>0</v>
      </c>
      <c r="C48" s="1">
        <v>3</v>
      </c>
      <c r="D48" s="1">
        <v>8</v>
      </c>
      <c r="E48" s="1">
        <v>6</v>
      </c>
      <c r="F48" s="1">
        <v>11</v>
      </c>
      <c r="G48" s="1">
        <v>11</v>
      </c>
      <c r="H48" s="1">
        <v>9</v>
      </c>
      <c r="I48" s="1">
        <v>4</v>
      </c>
      <c r="J48" s="1">
        <v>14</v>
      </c>
      <c r="K48" s="1">
        <v>4</v>
      </c>
      <c r="L48" s="2">
        <v>8</v>
      </c>
      <c r="M48" s="1">
        <v>1</v>
      </c>
      <c r="N48" s="1">
        <v>1</v>
      </c>
      <c r="O48" s="1">
        <v>0</v>
      </c>
      <c r="P48" s="1">
        <v>13</v>
      </c>
      <c r="Q48" s="1">
        <v>0</v>
      </c>
    </row>
    <row r="49" spans="1:17" x14ac:dyDescent="0.25">
      <c r="A49" s="1" t="s">
        <v>18</v>
      </c>
      <c r="B49" s="1">
        <v>3</v>
      </c>
      <c r="C49" s="1">
        <v>0</v>
      </c>
      <c r="D49" s="1">
        <v>1</v>
      </c>
      <c r="E49" s="1">
        <v>0</v>
      </c>
      <c r="F49" s="1">
        <v>1</v>
      </c>
      <c r="G49" s="1">
        <v>0</v>
      </c>
      <c r="H49" s="1">
        <v>1</v>
      </c>
      <c r="I49" s="1">
        <v>1</v>
      </c>
      <c r="J49" s="1">
        <v>1</v>
      </c>
      <c r="K49" s="1">
        <v>1</v>
      </c>
      <c r="L49" s="1">
        <v>2</v>
      </c>
      <c r="M49" s="1">
        <v>0</v>
      </c>
      <c r="N49" s="1">
        <v>0</v>
      </c>
      <c r="O49" s="1">
        <v>0</v>
      </c>
      <c r="P49" s="1">
        <v>1</v>
      </c>
      <c r="Q49" s="1">
        <v>0</v>
      </c>
    </row>
    <row r="50" spans="1:17" x14ac:dyDescent="0.25">
      <c r="A50" s="1" t="s">
        <v>16</v>
      </c>
      <c r="B50" s="1">
        <v>8</v>
      </c>
      <c r="C50" s="1">
        <v>1</v>
      </c>
      <c r="D50" s="1">
        <v>0</v>
      </c>
      <c r="E50" s="1">
        <v>4</v>
      </c>
      <c r="F50" s="1">
        <v>11</v>
      </c>
      <c r="G50" s="1">
        <v>4</v>
      </c>
      <c r="H50" s="1">
        <v>8</v>
      </c>
      <c r="I50" s="1">
        <v>4</v>
      </c>
      <c r="J50" s="1">
        <v>4</v>
      </c>
      <c r="K50" s="1">
        <v>3</v>
      </c>
      <c r="L50" s="1">
        <v>6</v>
      </c>
      <c r="M50" s="1">
        <v>1</v>
      </c>
      <c r="N50" s="1">
        <v>1</v>
      </c>
      <c r="O50" s="1">
        <v>1</v>
      </c>
      <c r="P50" s="1">
        <v>8</v>
      </c>
      <c r="Q50" s="1">
        <v>0</v>
      </c>
    </row>
    <row r="51" spans="1:17" x14ac:dyDescent="0.25">
      <c r="A51" s="1" t="s">
        <v>22</v>
      </c>
      <c r="B51" s="1">
        <v>6</v>
      </c>
      <c r="C51" s="1">
        <v>0</v>
      </c>
      <c r="D51" s="1">
        <v>4</v>
      </c>
      <c r="E51" s="1">
        <v>0</v>
      </c>
      <c r="F51" s="1">
        <v>12</v>
      </c>
      <c r="G51" s="1">
        <v>10</v>
      </c>
      <c r="H51" s="1">
        <v>10</v>
      </c>
      <c r="I51" s="1">
        <v>2</v>
      </c>
      <c r="J51" s="1">
        <v>8</v>
      </c>
      <c r="K51" s="1">
        <v>1</v>
      </c>
      <c r="L51" s="1">
        <v>4</v>
      </c>
      <c r="M51" s="1">
        <v>4</v>
      </c>
      <c r="N51" s="1">
        <v>3</v>
      </c>
      <c r="O51" s="1">
        <v>0</v>
      </c>
      <c r="P51" s="1">
        <v>6</v>
      </c>
      <c r="Q51" s="1">
        <v>0</v>
      </c>
    </row>
    <row r="52" spans="1:17" x14ac:dyDescent="0.25">
      <c r="A52" s="1" t="s">
        <v>4</v>
      </c>
      <c r="B52" s="1">
        <v>11</v>
      </c>
      <c r="C52" s="1">
        <v>1</v>
      </c>
      <c r="D52" s="1">
        <v>11</v>
      </c>
      <c r="E52" s="1">
        <v>12</v>
      </c>
      <c r="F52" s="1">
        <v>0</v>
      </c>
      <c r="G52" s="1">
        <v>12</v>
      </c>
      <c r="H52" s="1">
        <v>16</v>
      </c>
      <c r="I52" s="1">
        <v>8</v>
      </c>
      <c r="J52" s="1">
        <v>9</v>
      </c>
      <c r="K52" s="1">
        <v>5</v>
      </c>
      <c r="L52" s="1">
        <v>3</v>
      </c>
      <c r="M52" s="1">
        <v>5</v>
      </c>
      <c r="N52" s="1">
        <v>4</v>
      </c>
      <c r="O52" s="1">
        <v>2</v>
      </c>
      <c r="P52" s="1">
        <v>11</v>
      </c>
      <c r="Q52" s="1">
        <v>0</v>
      </c>
    </row>
    <row r="53" spans="1:17" x14ac:dyDescent="0.25">
      <c r="A53" s="1" t="s">
        <v>6</v>
      </c>
      <c r="B53" s="1">
        <v>11</v>
      </c>
      <c r="C53" s="1">
        <v>0</v>
      </c>
      <c r="D53" s="1">
        <v>4</v>
      </c>
      <c r="E53" s="1">
        <v>10</v>
      </c>
      <c r="F53" s="1">
        <v>12</v>
      </c>
      <c r="G53" s="1">
        <v>0</v>
      </c>
      <c r="H53" s="1">
        <v>14</v>
      </c>
      <c r="I53" s="1">
        <v>3</v>
      </c>
      <c r="J53" s="1">
        <v>10</v>
      </c>
      <c r="K53" s="1">
        <v>5</v>
      </c>
      <c r="L53" s="1">
        <v>6</v>
      </c>
      <c r="M53" s="1">
        <v>5</v>
      </c>
      <c r="N53" s="1">
        <v>2</v>
      </c>
      <c r="O53" s="1">
        <v>0</v>
      </c>
      <c r="P53" s="1">
        <v>10</v>
      </c>
      <c r="Q53" s="1">
        <v>0</v>
      </c>
    </row>
    <row r="54" spans="1:17" x14ac:dyDescent="0.25">
      <c r="A54" s="1" t="s">
        <v>5</v>
      </c>
      <c r="B54" s="1">
        <v>9</v>
      </c>
      <c r="C54" s="1">
        <v>1</v>
      </c>
      <c r="D54" s="1">
        <v>8</v>
      </c>
      <c r="E54" s="1">
        <v>10</v>
      </c>
      <c r="F54" s="1">
        <v>16</v>
      </c>
      <c r="G54" s="1">
        <v>14</v>
      </c>
      <c r="H54" s="1">
        <v>0</v>
      </c>
      <c r="I54" s="1">
        <v>5</v>
      </c>
      <c r="J54" s="1">
        <v>8</v>
      </c>
      <c r="K54" s="1">
        <v>6</v>
      </c>
      <c r="L54" s="1">
        <v>4</v>
      </c>
      <c r="M54" s="1">
        <v>4</v>
      </c>
      <c r="N54" s="1">
        <v>1</v>
      </c>
      <c r="O54" s="1">
        <v>0</v>
      </c>
      <c r="P54" s="1">
        <v>10</v>
      </c>
      <c r="Q54" s="1">
        <v>0</v>
      </c>
    </row>
    <row r="55" spans="1:17" x14ac:dyDescent="0.25">
      <c r="A55" s="1" t="s">
        <v>8</v>
      </c>
      <c r="B55" s="1">
        <v>4</v>
      </c>
      <c r="C55" s="1">
        <v>1</v>
      </c>
      <c r="D55" s="1">
        <v>4</v>
      </c>
      <c r="E55" s="1">
        <v>2</v>
      </c>
      <c r="F55" s="1">
        <v>8</v>
      </c>
      <c r="G55" s="1">
        <v>3</v>
      </c>
      <c r="H55" s="1">
        <v>5</v>
      </c>
      <c r="I55" s="1">
        <v>0</v>
      </c>
      <c r="J55" s="1">
        <v>6</v>
      </c>
      <c r="K55" s="1">
        <v>4</v>
      </c>
      <c r="L55" s="1">
        <v>2</v>
      </c>
      <c r="M55" s="1">
        <v>0</v>
      </c>
      <c r="N55" s="1">
        <v>5</v>
      </c>
      <c r="O55" s="1">
        <v>3</v>
      </c>
      <c r="P55" s="1">
        <v>5</v>
      </c>
      <c r="Q55" s="1">
        <v>0</v>
      </c>
    </row>
    <row r="56" spans="1:17" x14ac:dyDescent="0.25">
      <c r="A56" s="1" t="s">
        <v>12</v>
      </c>
      <c r="B56" s="1">
        <v>14</v>
      </c>
      <c r="C56" s="1">
        <v>1</v>
      </c>
      <c r="D56" s="1">
        <v>4</v>
      </c>
      <c r="E56" s="1">
        <v>8</v>
      </c>
      <c r="F56" s="1">
        <v>9</v>
      </c>
      <c r="G56" s="1">
        <v>10</v>
      </c>
      <c r="H56" s="1">
        <v>8</v>
      </c>
      <c r="I56" s="1">
        <v>6</v>
      </c>
      <c r="J56" s="1">
        <v>0</v>
      </c>
      <c r="K56" s="1">
        <v>3</v>
      </c>
      <c r="L56" s="1">
        <v>8</v>
      </c>
      <c r="M56" s="1">
        <v>5</v>
      </c>
      <c r="N56" s="1">
        <v>1</v>
      </c>
      <c r="O56" s="1">
        <v>0</v>
      </c>
      <c r="P56" s="1">
        <v>12</v>
      </c>
      <c r="Q56" s="1">
        <v>0</v>
      </c>
    </row>
    <row r="57" spans="1:17" x14ac:dyDescent="0.25">
      <c r="A57" s="2" t="s">
        <v>23</v>
      </c>
      <c r="B57" s="1">
        <v>4</v>
      </c>
      <c r="C57" s="1">
        <v>1</v>
      </c>
      <c r="D57" s="1">
        <v>3</v>
      </c>
      <c r="E57" s="1">
        <v>1</v>
      </c>
      <c r="F57" s="1">
        <v>5</v>
      </c>
      <c r="G57" s="1">
        <v>5</v>
      </c>
      <c r="H57" s="1">
        <v>6</v>
      </c>
      <c r="I57" s="1">
        <v>4</v>
      </c>
      <c r="J57" s="1">
        <v>3</v>
      </c>
      <c r="K57" s="1">
        <v>0</v>
      </c>
      <c r="L57" s="1">
        <v>4</v>
      </c>
      <c r="M57" s="1">
        <v>1</v>
      </c>
      <c r="N57" s="1">
        <v>2</v>
      </c>
      <c r="O57" s="1">
        <v>2</v>
      </c>
      <c r="P57" s="1">
        <v>2</v>
      </c>
      <c r="Q57" s="1">
        <v>0</v>
      </c>
    </row>
    <row r="58" spans="1:17" x14ac:dyDescent="0.25">
      <c r="A58" s="2" t="s">
        <v>11</v>
      </c>
      <c r="B58" s="1">
        <v>8</v>
      </c>
      <c r="C58" s="1">
        <v>2</v>
      </c>
      <c r="D58" s="1">
        <v>6</v>
      </c>
      <c r="E58" s="1">
        <v>4</v>
      </c>
      <c r="F58" s="1">
        <v>3</v>
      </c>
      <c r="G58" s="1">
        <v>6</v>
      </c>
      <c r="H58" s="1">
        <v>4</v>
      </c>
      <c r="I58" s="1">
        <v>2</v>
      </c>
      <c r="J58" s="1">
        <v>8</v>
      </c>
      <c r="K58" s="1">
        <v>4</v>
      </c>
      <c r="L58" s="1">
        <v>0</v>
      </c>
      <c r="M58" s="1">
        <v>1</v>
      </c>
      <c r="N58" s="1">
        <v>1</v>
      </c>
      <c r="O58" s="1">
        <v>0</v>
      </c>
      <c r="P58" s="1">
        <v>6</v>
      </c>
      <c r="Q58" s="1">
        <v>0</v>
      </c>
    </row>
    <row r="59" spans="1:17" x14ac:dyDescent="0.25">
      <c r="A59" s="1" t="s">
        <v>9</v>
      </c>
      <c r="B59" s="1">
        <v>1</v>
      </c>
      <c r="C59" s="1">
        <v>0</v>
      </c>
      <c r="D59" s="1">
        <v>1</v>
      </c>
      <c r="E59" s="1">
        <v>4</v>
      </c>
      <c r="F59" s="1">
        <v>5</v>
      </c>
      <c r="G59" s="1">
        <v>5</v>
      </c>
      <c r="H59" s="1">
        <v>4</v>
      </c>
      <c r="I59" s="1">
        <v>0</v>
      </c>
      <c r="J59" s="1">
        <v>5</v>
      </c>
      <c r="K59" s="1">
        <v>1</v>
      </c>
      <c r="L59" s="1">
        <v>1</v>
      </c>
      <c r="M59" s="1">
        <v>0</v>
      </c>
      <c r="N59" s="1">
        <v>0</v>
      </c>
      <c r="O59" s="1">
        <v>0</v>
      </c>
      <c r="P59" s="1">
        <v>4</v>
      </c>
      <c r="Q59" s="1">
        <v>0</v>
      </c>
    </row>
    <row r="60" spans="1:17" x14ac:dyDescent="0.25">
      <c r="A60" s="1" t="s">
        <v>24</v>
      </c>
      <c r="B60" s="1">
        <v>1</v>
      </c>
      <c r="C60" s="1">
        <v>0</v>
      </c>
      <c r="D60" s="1">
        <v>1</v>
      </c>
      <c r="E60" s="1">
        <v>3</v>
      </c>
      <c r="F60" s="1">
        <v>4</v>
      </c>
      <c r="G60" s="1">
        <v>2</v>
      </c>
      <c r="H60" s="1">
        <v>1</v>
      </c>
      <c r="I60" s="1">
        <v>5</v>
      </c>
      <c r="J60" s="1">
        <v>1</v>
      </c>
      <c r="K60" s="1">
        <v>2</v>
      </c>
      <c r="L60" s="1">
        <v>1</v>
      </c>
      <c r="M60" s="1">
        <v>0</v>
      </c>
      <c r="N60" s="1">
        <v>0</v>
      </c>
      <c r="O60" s="1">
        <v>3</v>
      </c>
      <c r="P60" s="1">
        <v>1</v>
      </c>
      <c r="Q60" s="1">
        <v>0</v>
      </c>
    </row>
    <row r="61" spans="1:17" x14ac:dyDescent="0.25">
      <c r="A61" s="1" t="s">
        <v>26</v>
      </c>
      <c r="B61" s="1">
        <v>0</v>
      </c>
      <c r="C61" s="1">
        <v>0</v>
      </c>
      <c r="D61" s="1">
        <v>1</v>
      </c>
      <c r="E61" s="1">
        <v>0</v>
      </c>
      <c r="F61" s="1">
        <v>2</v>
      </c>
      <c r="G61" s="1">
        <v>0</v>
      </c>
      <c r="H61" s="1">
        <v>0</v>
      </c>
      <c r="I61" s="1">
        <v>3</v>
      </c>
      <c r="J61" s="1">
        <v>0</v>
      </c>
      <c r="K61" s="1">
        <v>2</v>
      </c>
      <c r="L61" s="1">
        <v>0</v>
      </c>
      <c r="M61" s="1">
        <v>0</v>
      </c>
      <c r="N61" s="1">
        <v>3</v>
      </c>
      <c r="O61" s="1">
        <v>0</v>
      </c>
      <c r="P61" s="1">
        <v>0</v>
      </c>
      <c r="Q61" s="1">
        <v>0</v>
      </c>
    </row>
    <row r="62" spans="1:17" x14ac:dyDescent="0.25">
      <c r="A62" s="1" t="s">
        <v>7</v>
      </c>
      <c r="B62" s="1">
        <v>13</v>
      </c>
      <c r="C62" s="1">
        <v>1</v>
      </c>
      <c r="D62" s="1">
        <v>8</v>
      </c>
      <c r="E62" s="1">
        <v>6</v>
      </c>
      <c r="F62" s="1">
        <v>11</v>
      </c>
      <c r="G62" s="1">
        <v>10</v>
      </c>
      <c r="H62" s="1">
        <v>10</v>
      </c>
      <c r="I62" s="1">
        <v>5</v>
      </c>
      <c r="J62" s="1">
        <v>12</v>
      </c>
      <c r="K62" s="1">
        <v>2</v>
      </c>
      <c r="L62" s="1">
        <v>6</v>
      </c>
      <c r="M62" s="1">
        <v>4</v>
      </c>
      <c r="N62" s="1">
        <v>1</v>
      </c>
      <c r="O62" s="1">
        <v>0</v>
      </c>
      <c r="P62" s="1">
        <v>0</v>
      </c>
      <c r="Q62" s="1">
        <v>0</v>
      </c>
    </row>
    <row r="63" spans="1:17" x14ac:dyDescent="0.25">
      <c r="A63" s="1" t="s">
        <v>10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</row>
    <row r="66" spans="1:17" x14ac:dyDescent="0.25">
      <c r="A66" s="3" t="s">
        <v>31</v>
      </c>
    </row>
    <row r="67" spans="1:17" x14ac:dyDescent="0.25">
      <c r="B67" s="1" t="s">
        <v>3</v>
      </c>
      <c r="C67" s="1" t="s">
        <v>18</v>
      </c>
      <c r="D67" s="1" t="s">
        <v>16</v>
      </c>
      <c r="E67" s="1" t="s">
        <v>22</v>
      </c>
      <c r="F67" s="1" t="s">
        <v>4</v>
      </c>
      <c r="G67" s="1" t="s">
        <v>6</v>
      </c>
      <c r="H67" s="1" t="s">
        <v>5</v>
      </c>
      <c r="I67" s="1" t="s">
        <v>8</v>
      </c>
      <c r="J67" s="1" t="s">
        <v>12</v>
      </c>
      <c r="K67" s="2" t="s">
        <v>23</v>
      </c>
      <c r="L67" s="2" t="s">
        <v>11</v>
      </c>
      <c r="M67" s="1" t="s">
        <v>9</v>
      </c>
      <c r="N67" s="1" t="s">
        <v>24</v>
      </c>
      <c r="O67" s="1" t="s">
        <v>26</v>
      </c>
      <c r="P67" s="1" t="s">
        <v>7</v>
      </c>
      <c r="Q67" s="1" t="s">
        <v>10</v>
      </c>
    </row>
    <row r="68" spans="1:17" x14ac:dyDescent="0.25">
      <c r="A68" s="1" t="s">
        <v>3</v>
      </c>
      <c r="B68" s="1">
        <v>0</v>
      </c>
      <c r="C68" s="1">
        <v>2</v>
      </c>
      <c r="D68" s="1">
        <v>9</v>
      </c>
      <c r="E68" s="1">
        <v>7</v>
      </c>
      <c r="F68" s="1">
        <v>7</v>
      </c>
      <c r="G68" s="1">
        <v>5</v>
      </c>
      <c r="H68" s="1">
        <v>6</v>
      </c>
      <c r="I68" s="1">
        <v>1</v>
      </c>
      <c r="J68" s="1">
        <v>12</v>
      </c>
      <c r="K68" s="1">
        <v>3</v>
      </c>
      <c r="L68" s="1">
        <v>5</v>
      </c>
      <c r="M68" s="1">
        <v>4</v>
      </c>
      <c r="N68" s="1">
        <v>3</v>
      </c>
      <c r="O68" s="1">
        <v>2</v>
      </c>
      <c r="P68" s="1">
        <v>5</v>
      </c>
      <c r="Q68" s="1">
        <v>1</v>
      </c>
    </row>
    <row r="69" spans="1:17" x14ac:dyDescent="0.25">
      <c r="A69" s="1" t="s">
        <v>18</v>
      </c>
      <c r="B69" s="1">
        <v>2</v>
      </c>
      <c r="C69" s="1">
        <v>0</v>
      </c>
      <c r="D69" s="1">
        <v>0</v>
      </c>
      <c r="E69" s="1">
        <v>4</v>
      </c>
      <c r="F69" s="1">
        <v>1</v>
      </c>
      <c r="G69" s="1">
        <v>1</v>
      </c>
      <c r="H69" s="1">
        <v>3</v>
      </c>
      <c r="I69" s="1">
        <v>1</v>
      </c>
      <c r="J69" s="1">
        <v>3</v>
      </c>
      <c r="K69" s="1">
        <v>4</v>
      </c>
      <c r="L69" s="1">
        <v>2</v>
      </c>
      <c r="M69" s="1">
        <v>2</v>
      </c>
      <c r="N69" s="1">
        <v>0</v>
      </c>
      <c r="O69" s="1">
        <v>0</v>
      </c>
      <c r="P69" s="1">
        <v>1</v>
      </c>
      <c r="Q69" s="1">
        <v>0</v>
      </c>
    </row>
    <row r="70" spans="1:17" x14ac:dyDescent="0.25">
      <c r="A70" s="1" t="s">
        <v>16</v>
      </c>
      <c r="B70" s="1">
        <v>9</v>
      </c>
      <c r="C70" s="1">
        <v>0</v>
      </c>
      <c r="D70" s="1">
        <v>0</v>
      </c>
      <c r="E70" s="1">
        <v>8</v>
      </c>
      <c r="F70" s="1">
        <v>9</v>
      </c>
      <c r="G70" s="1">
        <v>5</v>
      </c>
      <c r="H70" s="1">
        <v>11</v>
      </c>
      <c r="I70" s="1">
        <v>5</v>
      </c>
      <c r="J70" s="1">
        <v>5</v>
      </c>
      <c r="K70" s="1">
        <v>4</v>
      </c>
      <c r="L70" s="1">
        <v>5</v>
      </c>
      <c r="M70" s="1">
        <v>5</v>
      </c>
      <c r="N70" s="1">
        <v>6</v>
      </c>
      <c r="O70" s="1">
        <v>2</v>
      </c>
      <c r="P70" s="1">
        <v>5</v>
      </c>
      <c r="Q70" s="1">
        <v>0</v>
      </c>
    </row>
    <row r="71" spans="1:17" x14ac:dyDescent="0.25">
      <c r="A71" s="1" t="s">
        <v>22</v>
      </c>
      <c r="B71" s="1">
        <v>7</v>
      </c>
      <c r="C71" s="1">
        <v>4</v>
      </c>
      <c r="D71" s="1">
        <v>8</v>
      </c>
      <c r="E71" s="1">
        <v>0</v>
      </c>
      <c r="F71" s="1">
        <v>8</v>
      </c>
      <c r="G71" s="1">
        <v>8</v>
      </c>
      <c r="H71" s="1">
        <v>8</v>
      </c>
      <c r="I71" s="1">
        <v>2</v>
      </c>
      <c r="J71" s="1">
        <v>9</v>
      </c>
      <c r="K71" s="1">
        <v>6</v>
      </c>
      <c r="L71" s="1">
        <v>3</v>
      </c>
      <c r="M71" s="1">
        <v>4</v>
      </c>
      <c r="N71" s="1">
        <v>4</v>
      </c>
      <c r="O71" s="1">
        <v>0</v>
      </c>
      <c r="P71" s="1">
        <v>5</v>
      </c>
      <c r="Q71" s="1">
        <v>0</v>
      </c>
    </row>
    <row r="72" spans="1:17" x14ac:dyDescent="0.25">
      <c r="A72" s="1" t="s">
        <v>4</v>
      </c>
      <c r="B72" s="1">
        <v>7</v>
      </c>
      <c r="C72" s="1">
        <v>1</v>
      </c>
      <c r="D72" s="1">
        <v>9</v>
      </c>
      <c r="E72" s="1">
        <v>8</v>
      </c>
      <c r="F72" s="1">
        <v>0</v>
      </c>
      <c r="G72" s="1">
        <v>6</v>
      </c>
      <c r="H72" s="1">
        <v>11</v>
      </c>
      <c r="I72" s="1">
        <v>3</v>
      </c>
      <c r="J72" s="1">
        <v>4</v>
      </c>
      <c r="K72" s="1">
        <v>6</v>
      </c>
      <c r="L72" s="1">
        <v>3</v>
      </c>
      <c r="M72" s="1">
        <v>9</v>
      </c>
      <c r="N72" s="1">
        <v>3</v>
      </c>
      <c r="O72" s="1">
        <v>0</v>
      </c>
      <c r="P72" s="1">
        <v>2</v>
      </c>
      <c r="Q72" s="1">
        <v>0</v>
      </c>
    </row>
    <row r="73" spans="1:17" x14ac:dyDescent="0.25">
      <c r="A73" s="1" t="s">
        <v>6</v>
      </c>
      <c r="B73" s="1">
        <v>5</v>
      </c>
      <c r="C73" s="1">
        <v>1</v>
      </c>
      <c r="D73" s="1">
        <v>5</v>
      </c>
      <c r="E73" s="1">
        <v>8</v>
      </c>
      <c r="F73" s="1">
        <v>6</v>
      </c>
      <c r="G73" s="1">
        <v>0</v>
      </c>
      <c r="H73" s="1">
        <v>9</v>
      </c>
      <c r="I73" s="1">
        <v>4</v>
      </c>
      <c r="J73" s="1">
        <v>7</v>
      </c>
      <c r="K73" s="1">
        <v>6</v>
      </c>
      <c r="L73" s="1">
        <v>3</v>
      </c>
      <c r="M73" s="1">
        <v>6</v>
      </c>
      <c r="N73" s="1">
        <v>3</v>
      </c>
      <c r="O73" s="1">
        <v>1</v>
      </c>
      <c r="P73" s="1">
        <v>2</v>
      </c>
      <c r="Q73" s="1">
        <v>0</v>
      </c>
    </row>
    <row r="74" spans="1:17" x14ac:dyDescent="0.25">
      <c r="A74" s="1" t="s">
        <v>5</v>
      </c>
      <c r="B74" s="1">
        <v>6</v>
      </c>
      <c r="C74" s="1">
        <v>3</v>
      </c>
      <c r="D74" s="1">
        <v>11</v>
      </c>
      <c r="E74" s="1">
        <v>8</v>
      </c>
      <c r="F74" s="1">
        <v>11</v>
      </c>
      <c r="G74" s="1">
        <v>9</v>
      </c>
      <c r="H74" s="1">
        <v>0</v>
      </c>
      <c r="I74" s="1">
        <v>7</v>
      </c>
      <c r="J74" s="1">
        <v>8</v>
      </c>
      <c r="K74" s="1">
        <v>8</v>
      </c>
      <c r="L74" s="1">
        <v>3</v>
      </c>
      <c r="M74" s="1">
        <v>7</v>
      </c>
      <c r="N74" s="1">
        <v>3</v>
      </c>
      <c r="O74" s="1">
        <v>0</v>
      </c>
      <c r="P74" s="1">
        <v>3</v>
      </c>
      <c r="Q74" s="1">
        <v>0</v>
      </c>
    </row>
    <row r="75" spans="1:17" x14ac:dyDescent="0.25">
      <c r="A75" s="1" t="s">
        <v>8</v>
      </c>
      <c r="B75" s="1">
        <v>1</v>
      </c>
      <c r="C75" s="1">
        <v>1</v>
      </c>
      <c r="D75" s="1">
        <v>5</v>
      </c>
      <c r="E75" s="1">
        <v>2</v>
      </c>
      <c r="F75" s="1">
        <v>3</v>
      </c>
      <c r="G75" s="1">
        <v>4</v>
      </c>
      <c r="H75" s="1">
        <v>7</v>
      </c>
      <c r="I75" s="1">
        <v>0</v>
      </c>
      <c r="J75" s="1">
        <v>10</v>
      </c>
      <c r="K75" s="1">
        <v>5</v>
      </c>
      <c r="L75" s="1">
        <v>2</v>
      </c>
      <c r="M75" s="1">
        <v>6</v>
      </c>
      <c r="N75" s="1">
        <v>8</v>
      </c>
      <c r="O75" s="1">
        <v>2</v>
      </c>
      <c r="P75" s="1">
        <v>0</v>
      </c>
      <c r="Q75" s="1">
        <v>4</v>
      </c>
    </row>
    <row r="76" spans="1:17" x14ac:dyDescent="0.25">
      <c r="A76" s="1" t="s">
        <v>12</v>
      </c>
      <c r="B76" s="1">
        <v>12</v>
      </c>
      <c r="C76" s="1">
        <v>3</v>
      </c>
      <c r="D76" s="1">
        <v>5</v>
      </c>
      <c r="E76" s="1">
        <v>9</v>
      </c>
      <c r="F76" s="1">
        <v>4</v>
      </c>
      <c r="G76" s="1">
        <v>7</v>
      </c>
      <c r="H76" s="1">
        <v>8</v>
      </c>
      <c r="I76" s="1">
        <v>10</v>
      </c>
      <c r="J76" s="1">
        <v>0</v>
      </c>
      <c r="K76" s="1">
        <v>6</v>
      </c>
      <c r="L76" s="1">
        <v>6</v>
      </c>
      <c r="M76" s="1">
        <v>5</v>
      </c>
      <c r="N76" s="1">
        <v>6</v>
      </c>
      <c r="O76" s="1">
        <v>2</v>
      </c>
      <c r="P76" s="1">
        <v>6</v>
      </c>
      <c r="Q76" s="1">
        <v>4</v>
      </c>
    </row>
    <row r="77" spans="1:17" x14ac:dyDescent="0.25">
      <c r="A77" s="2" t="s">
        <v>23</v>
      </c>
      <c r="B77" s="1">
        <v>3</v>
      </c>
      <c r="C77" s="1">
        <v>4</v>
      </c>
      <c r="D77" s="1">
        <v>4</v>
      </c>
      <c r="E77" s="1">
        <v>6</v>
      </c>
      <c r="F77" s="1">
        <v>6</v>
      </c>
      <c r="G77" s="1">
        <v>6</v>
      </c>
      <c r="H77" s="1">
        <v>8</v>
      </c>
      <c r="I77" s="1">
        <v>5</v>
      </c>
      <c r="J77" s="1">
        <v>6</v>
      </c>
      <c r="K77" s="1">
        <v>0</v>
      </c>
      <c r="L77" s="1">
        <v>2</v>
      </c>
      <c r="M77" s="1">
        <v>6</v>
      </c>
      <c r="N77" s="1">
        <v>1</v>
      </c>
      <c r="O77" s="1">
        <v>0</v>
      </c>
      <c r="P77" s="1">
        <v>1</v>
      </c>
      <c r="Q77" s="1">
        <v>2</v>
      </c>
    </row>
    <row r="78" spans="1:17" x14ac:dyDescent="0.25">
      <c r="A78" s="2" t="s">
        <v>11</v>
      </c>
      <c r="B78" s="1">
        <v>5</v>
      </c>
      <c r="C78" s="1">
        <v>2</v>
      </c>
      <c r="D78" s="1">
        <v>5</v>
      </c>
      <c r="E78" s="1">
        <v>3</v>
      </c>
      <c r="F78" s="1">
        <v>3</v>
      </c>
      <c r="G78" s="1">
        <v>3</v>
      </c>
      <c r="H78" s="1">
        <v>3</v>
      </c>
      <c r="I78" s="1">
        <v>2</v>
      </c>
      <c r="J78" s="1">
        <v>6</v>
      </c>
      <c r="K78" s="1">
        <v>2</v>
      </c>
      <c r="L78" s="1">
        <v>0</v>
      </c>
      <c r="M78" s="1">
        <v>3</v>
      </c>
      <c r="N78" s="1">
        <v>1</v>
      </c>
      <c r="O78" s="1">
        <v>0</v>
      </c>
      <c r="P78" s="1">
        <v>2</v>
      </c>
      <c r="Q78" s="1">
        <v>2</v>
      </c>
    </row>
    <row r="79" spans="1:17" x14ac:dyDescent="0.25">
      <c r="A79" s="1" t="s">
        <v>9</v>
      </c>
      <c r="B79" s="1">
        <v>4</v>
      </c>
      <c r="C79" s="1">
        <v>2</v>
      </c>
      <c r="D79" s="1">
        <v>5</v>
      </c>
      <c r="E79" s="1">
        <v>4</v>
      </c>
      <c r="F79" s="1">
        <v>9</v>
      </c>
      <c r="G79" s="1">
        <v>6</v>
      </c>
      <c r="H79" s="1">
        <v>7</v>
      </c>
      <c r="I79" s="1">
        <v>6</v>
      </c>
      <c r="J79" s="1">
        <v>5</v>
      </c>
      <c r="K79" s="1">
        <v>6</v>
      </c>
      <c r="L79" s="1">
        <v>3</v>
      </c>
      <c r="M79" s="1">
        <v>0</v>
      </c>
      <c r="N79" s="1">
        <v>2</v>
      </c>
      <c r="O79" s="1">
        <v>0</v>
      </c>
      <c r="P79" s="1">
        <v>2</v>
      </c>
      <c r="Q79" s="1">
        <v>2</v>
      </c>
    </row>
    <row r="80" spans="1:17" x14ac:dyDescent="0.25">
      <c r="A80" s="1" t="s">
        <v>24</v>
      </c>
      <c r="B80" s="1">
        <v>3</v>
      </c>
      <c r="C80" s="1">
        <v>0</v>
      </c>
      <c r="D80" s="1">
        <v>6</v>
      </c>
      <c r="E80" s="1">
        <v>4</v>
      </c>
      <c r="F80" s="1">
        <v>3</v>
      </c>
      <c r="G80" s="1">
        <v>3</v>
      </c>
      <c r="H80" s="1">
        <v>3</v>
      </c>
      <c r="I80" s="1">
        <v>8</v>
      </c>
      <c r="J80" s="1">
        <v>6</v>
      </c>
      <c r="K80" s="1">
        <v>1</v>
      </c>
      <c r="L80" s="1">
        <v>1</v>
      </c>
      <c r="M80" s="1">
        <v>2</v>
      </c>
      <c r="N80" s="1">
        <v>0</v>
      </c>
      <c r="O80" s="1">
        <v>4</v>
      </c>
      <c r="P80" s="1">
        <v>0</v>
      </c>
      <c r="Q80" s="1">
        <v>1</v>
      </c>
    </row>
    <row r="81" spans="1:17" x14ac:dyDescent="0.25">
      <c r="A81" s="1" t="s">
        <v>26</v>
      </c>
      <c r="B81" s="1">
        <v>2</v>
      </c>
      <c r="C81" s="1">
        <v>0</v>
      </c>
      <c r="D81" s="1">
        <v>2</v>
      </c>
      <c r="E81" s="1">
        <v>0</v>
      </c>
      <c r="F81" s="1">
        <v>0</v>
      </c>
      <c r="G81" s="1">
        <v>1</v>
      </c>
      <c r="H81" s="1">
        <v>0</v>
      </c>
      <c r="I81" s="1">
        <v>2</v>
      </c>
      <c r="J81" s="1">
        <v>2</v>
      </c>
      <c r="K81" s="1">
        <v>0</v>
      </c>
      <c r="L81" s="1">
        <v>0</v>
      </c>
      <c r="M81" s="1">
        <v>0</v>
      </c>
      <c r="N81" s="1">
        <v>4</v>
      </c>
      <c r="O81" s="1">
        <v>0</v>
      </c>
      <c r="P81" s="1">
        <v>0</v>
      </c>
      <c r="Q81" s="1">
        <v>0</v>
      </c>
    </row>
    <row r="82" spans="1:17" x14ac:dyDescent="0.25">
      <c r="A82" s="1" t="s">
        <v>7</v>
      </c>
      <c r="B82" s="1">
        <v>5</v>
      </c>
      <c r="C82" s="1">
        <v>1</v>
      </c>
      <c r="D82" s="1">
        <v>5</v>
      </c>
      <c r="E82" s="1">
        <v>5</v>
      </c>
      <c r="F82" s="1">
        <v>2</v>
      </c>
      <c r="G82" s="1">
        <v>2</v>
      </c>
      <c r="H82" s="1">
        <v>3</v>
      </c>
      <c r="I82" s="1">
        <v>0</v>
      </c>
      <c r="J82" s="1">
        <v>6</v>
      </c>
      <c r="K82" s="1">
        <v>1</v>
      </c>
      <c r="L82" s="1">
        <v>2</v>
      </c>
      <c r="M82" s="1">
        <v>2</v>
      </c>
      <c r="N82" s="1">
        <v>0</v>
      </c>
      <c r="O82" s="1">
        <v>0</v>
      </c>
      <c r="P82" s="1">
        <v>0</v>
      </c>
      <c r="Q82" s="1">
        <v>0</v>
      </c>
    </row>
    <row r="83" spans="1:17" x14ac:dyDescent="0.25">
      <c r="A83" s="1" t="s">
        <v>10</v>
      </c>
      <c r="B83" s="1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4</v>
      </c>
      <c r="J83" s="1">
        <v>4</v>
      </c>
      <c r="K83" s="1">
        <v>2</v>
      </c>
      <c r="L83" s="1">
        <v>2</v>
      </c>
      <c r="M83" s="1">
        <v>2</v>
      </c>
      <c r="N83" s="1">
        <v>1</v>
      </c>
      <c r="O83" s="1">
        <v>0</v>
      </c>
      <c r="P83" s="1">
        <v>0</v>
      </c>
      <c r="Q83" s="1">
        <v>0</v>
      </c>
    </row>
    <row r="86" spans="1:17" x14ac:dyDescent="0.25">
      <c r="A86" s="3" t="s">
        <v>87</v>
      </c>
    </row>
    <row r="87" spans="1:17" x14ac:dyDescent="0.25">
      <c r="B87" s="1" t="s">
        <v>3</v>
      </c>
      <c r="C87" s="1" t="s">
        <v>18</v>
      </c>
      <c r="D87" s="1" t="s">
        <v>16</v>
      </c>
      <c r="E87" s="1" t="s">
        <v>22</v>
      </c>
      <c r="F87" s="1" t="s">
        <v>4</v>
      </c>
      <c r="G87" s="1" t="s">
        <v>6</v>
      </c>
      <c r="H87" s="1" t="s">
        <v>5</v>
      </c>
      <c r="I87" s="1" t="s">
        <v>8</v>
      </c>
      <c r="J87" s="1" t="s">
        <v>12</v>
      </c>
      <c r="K87" s="2" t="s">
        <v>23</v>
      </c>
      <c r="L87" s="2" t="s">
        <v>11</v>
      </c>
      <c r="M87" s="1" t="s">
        <v>9</v>
      </c>
      <c r="N87" s="1" t="s">
        <v>24</v>
      </c>
      <c r="O87" s="1" t="s">
        <v>26</v>
      </c>
      <c r="P87" s="1" t="s">
        <v>7</v>
      </c>
      <c r="Q87" s="1" t="s">
        <v>10</v>
      </c>
    </row>
    <row r="88" spans="1:17" x14ac:dyDescent="0.25">
      <c r="A88" s="1" t="s">
        <v>3</v>
      </c>
      <c r="B88" s="1">
        <f>B48+B68</f>
        <v>0</v>
      </c>
      <c r="C88" s="1">
        <f t="shared" ref="C88:Q88" si="0">C48+C68</f>
        <v>5</v>
      </c>
      <c r="D88" s="1">
        <f t="shared" si="0"/>
        <v>17</v>
      </c>
      <c r="E88" s="1">
        <f t="shared" si="0"/>
        <v>13</v>
      </c>
      <c r="F88" s="1">
        <f t="shared" si="0"/>
        <v>18</v>
      </c>
      <c r="G88" s="1">
        <f t="shared" si="0"/>
        <v>16</v>
      </c>
      <c r="H88" s="1">
        <f t="shared" si="0"/>
        <v>15</v>
      </c>
      <c r="I88" s="1">
        <f t="shared" si="0"/>
        <v>5</v>
      </c>
      <c r="J88" s="1">
        <f t="shared" si="0"/>
        <v>26</v>
      </c>
      <c r="K88" s="1">
        <f t="shared" si="0"/>
        <v>7</v>
      </c>
      <c r="L88" s="1">
        <f t="shared" si="0"/>
        <v>13</v>
      </c>
      <c r="M88" s="1">
        <f t="shared" si="0"/>
        <v>5</v>
      </c>
      <c r="N88" s="1">
        <f t="shared" si="0"/>
        <v>4</v>
      </c>
      <c r="O88" s="1">
        <f t="shared" si="0"/>
        <v>2</v>
      </c>
      <c r="P88" s="1">
        <f t="shared" si="0"/>
        <v>18</v>
      </c>
      <c r="Q88" s="1">
        <f t="shared" si="0"/>
        <v>1</v>
      </c>
    </row>
    <row r="89" spans="1:17" x14ac:dyDescent="0.25">
      <c r="A89" s="1" t="s">
        <v>18</v>
      </c>
      <c r="B89" s="1">
        <f t="shared" ref="B89:Q103" si="1">B49+B69</f>
        <v>5</v>
      </c>
      <c r="C89" s="1">
        <f t="shared" si="1"/>
        <v>0</v>
      </c>
      <c r="D89" s="1">
        <f t="shared" si="1"/>
        <v>1</v>
      </c>
      <c r="E89" s="1">
        <f t="shared" si="1"/>
        <v>4</v>
      </c>
      <c r="F89" s="1">
        <f t="shared" si="1"/>
        <v>2</v>
      </c>
      <c r="G89" s="1">
        <f t="shared" si="1"/>
        <v>1</v>
      </c>
      <c r="H89" s="1">
        <f t="shared" si="1"/>
        <v>4</v>
      </c>
      <c r="I89" s="1">
        <f t="shared" si="1"/>
        <v>2</v>
      </c>
      <c r="J89" s="1">
        <f t="shared" si="1"/>
        <v>4</v>
      </c>
      <c r="K89" s="1">
        <f t="shared" si="1"/>
        <v>5</v>
      </c>
      <c r="L89" s="1">
        <f t="shared" si="1"/>
        <v>4</v>
      </c>
      <c r="M89" s="1">
        <f t="shared" si="1"/>
        <v>2</v>
      </c>
      <c r="N89" s="1">
        <f t="shared" si="1"/>
        <v>0</v>
      </c>
      <c r="O89" s="1">
        <f t="shared" si="1"/>
        <v>0</v>
      </c>
      <c r="P89" s="1">
        <f t="shared" si="1"/>
        <v>2</v>
      </c>
      <c r="Q89" s="1">
        <f t="shared" si="1"/>
        <v>0</v>
      </c>
    </row>
    <row r="90" spans="1:17" x14ac:dyDescent="0.25">
      <c r="A90" s="1" t="s">
        <v>16</v>
      </c>
      <c r="B90" s="1">
        <f t="shared" si="1"/>
        <v>17</v>
      </c>
      <c r="C90" s="1">
        <f t="shared" si="1"/>
        <v>1</v>
      </c>
      <c r="D90" s="1">
        <f t="shared" si="1"/>
        <v>0</v>
      </c>
      <c r="E90" s="1">
        <f t="shared" si="1"/>
        <v>12</v>
      </c>
      <c r="F90" s="1">
        <f t="shared" si="1"/>
        <v>20</v>
      </c>
      <c r="G90" s="1">
        <f t="shared" si="1"/>
        <v>9</v>
      </c>
      <c r="H90" s="1">
        <f t="shared" si="1"/>
        <v>19</v>
      </c>
      <c r="I90" s="1">
        <f t="shared" si="1"/>
        <v>9</v>
      </c>
      <c r="J90" s="1">
        <f t="shared" si="1"/>
        <v>9</v>
      </c>
      <c r="K90" s="1">
        <f t="shared" si="1"/>
        <v>7</v>
      </c>
      <c r="L90" s="1">
        <f t="shared" si="1"/>
        <v>11</v>
      </c>
      <c r="M90" s="1">
        <f t="shared" si="1"/>
        <v>6</v>
      </c>
      <c r="N90" s="1">
        <f t="shared" si="1"/>
        <v>7</v>
      </c>
      <c r="O90" s="1">
        <f t="shared" si="1"/>
        <v>3</v>
      </c>
      <c r="P90" s="1">
        <f t="shared" si="1"/>
        <v>13</v>
      </c>
      <c r="Q90" s="1">
        <f t="shared" si="1"/>
        <v>0</v>
      </c>
    </row>
    <row r="91" spans="1:17" x14ac:dyDescent="0.25">
      <c r="A91" s="1" t="s">
        <v>22</v>
      </c>
      <c r="B91" s="1">
        <f t="shared" si="1"/>
        <v>13</v>
      </c>
      <c r="C91" s="1">
        <f t="shared" si="1"/>
        <v>4</v>
      </c>
      <c r="D91" s="1">
        <f t="shared" si="1"/>
        <v>12</v>
      </c>
      <c r="E91" s="1">
        <f t="shared" si="1"/>
        <v>0</v>
      </c>
      <c r="F91" s="1">
        <f t="shared" si="1"/>
        <v>20</v>
      </c>
      <c r="G91" s="1">
        <f t="shared" si="1"/>
        <v>18</v>
      </c>
      <c r="H91" s="1">
        <f t="shared" si="1"/>
        <v>18</v>
      </c>
      <c r="I91" s="1">
        <f t="shared" si="1"/>
        <v>4</v>
      </c>
      <c r="J91" s="1">
        <f t="shared" si="1"/>
        <v>17</v>
      </c>
      <c r="K91" s="1">
        <f t="shared" si="1"/>
        <v>7</v>
      </c>
      <c r="L91" s="1">
        <f t="shared" si="1"/>
        <v>7</v>
      </c>
      <c r="M91" s="1">
        <f t="shared" si="1"/>
        <v>8</v>
      </c>
      <c r="N91" s="1">
        <f t="shared" si="1"/>
        <v>7</v>
      </c>
      <c r="O91" s="1">
        <f t="shared" si="1"/>
        <v>0</v>
      </c>
      <c r="P91" s="1">
        <f t="shared" si="1"/>
        <v>11</v>
      </c>
      <c r="Q91" s="1">
        <f t="shared" si="1"/>
        <v>0</v>
      </c>
    </row>
    <row r="92" spans="1:17" x14ac:dyDescent="0.25">
      <c r="A92" s="1" t="s">
        <v>4</v>
      </c>
      <c r="B92" s="1">
        <f t="shared" si="1"/>
        <v>18</v>
      </c>
      <c r="C92" s="1">
        <f t="shared" si="1"/>
        <v>2</v>
      </c>
      <c r="D92" s="1">
        <f t="shared" si="1"/>
        <v>20</v>
      </c>
      <c r="E92" s="1">
        <f t="shared" si="1"/>
        <v>20</v>
      </c>
      <c r="F92" s="1">
        <f t="shared" si="1"/>
        <v>0</v>
      </c>
      <c r="G92" s="1">
        <f t="shared" si="1"/>
        <v>18</v>
      </c>
      <c r="H92" s="1">
        <f t="shared" si="1"/>
        <v>27</v>
      </c>
      <c r="I92" s="1">
        <f t="shared" si="1"/>
        <v>11</v>
      </c>
      <c r="J92" s="1">
        <f t="shared" si="1"/>
        <v>13</v>
      </c>
      <c r="K92" s="1">
        <f t="shared" si="1"/>
        <v>11</v>
      </c>
      <c r="L92" s="1">
        <f t="shared" si="1"/>
        <v>6</v>
      </c>
      <c r="M92" s="1">
        <f t="shared" si="1"/>
        <v>14</v>
      </c>
      <c r="N92" s="1">
        <f t="shared" si="1"/>
        <v>7</v>
      </c>
      <c r="O92" s="1">
        <f t="shared" si="1"/>
        <v>2</v>
      </c>
      <c r="P92" s="1">
        <f t="shared" si="1"/>
        <v>13</v>
      </c>
      <c r="Q92" s="1">
        <f t="shared" si="1"/>
        <v>0</v>
      </c>
    </row>
    <row r="93" spans="1:17" x14ac:dyDescent="0.25">
      <c r="A93" s="1" t="s">
        <v>6</v>
      </c>
      <c r="B93" s="1">
        <f t="shared" si="1"/>
        <v>16</v>
      </c>
      <c r="C93" s="1">
        <f t="shared" si="1"/>
        <v>1</v>
      </c>
      <c r="D93" s="1">
        <f t="shared" si="1"/>
        <v>9</v>
      </c>
      <c r="E93" s="1">
        <f t="shared" si="1"/>
        <v>18</v>
      </c>
      <c r="F93" s="1">
        <f t="shared" si="1"/>
        <v>18</v>
      </c>
      <c r="G93" s="1">
        <f t="shared" si="1"/>
        <v>0</v>
      </c>
      <c r="H93" s="1">
        <f t="shared" si="1"/>
        <v>23</v>
      </c>
      <c r="I93" s="1">
        <f t="shared" si="1"/>
        <v>7</v>
      </c>
      <c r="J93" s="1">
        <f t="shared" si="1"/>
        <v>17</v>
      </c>
      <c r="K93" s="1">
        <f t="shared" si="1"/>
        <v>11</v>
      </c>
      <c r="L93" s="1">
        <f t="shared" si="1"/>
        <v>9</v>
      </c>
      <c r="M93" s="1">
        <f t="shared" si="1"/>
        <v>11</v>
      </c>
      <c r="N93" s="1">
        <f t="shared" si="1"/>
        <v>5</v>
      </c>
      <c r="O93" s="1">
        <f t="shared" si="1"/>
        <v>1</v>
      </c>
      <c r="P93" s="1">
        <f t="shared" si="1"/>
        <v>12</v>
      </c>
      <c r="Q93" s="1">
        <f t="shared" si="1"/>
        <v>0</v>
      </c>
    </row>
    <row r="94" spans="1:17" x14ac:dyDescent="0.25">
      <c r="A94" s="1" t="s">
        <v>5</v>
      </c>
      <c r="B94" s="1">
        <f t="shared" si="1"/>
        <v>15</v>
      </c>
      <c r="C94" s="1">
        <f t="shared" si="1"/>
        <v>4</v>
      </c>
      <c r="D94" s="1">
        <f t="shared" si="1"/>
        <v>19</v>
      </c>
      <c r="E94" s="1">
        <f t="shared" si="1"/>
        <v>18</v>
      </c>
      <c r="F94" s="1">
        <f t="shared" si="1"/>
        <v>27</v>
      </c>
      <c r="G94" s="1">
        <f t="shared" si="1"/>
        <v>23</v>
      </c>
      <c r="H94" s="1">
        <f t="shared" si="1"/>
        <v>0</v>
      </c>
      <c r="I94" s="1">
        <f t="shared" si="1"/>
        <v>12</v>
      </c>
      <c r="J94" s="1">
        <f t="shared" si="1"/>
        <v>16</v>
      </c>
      <c r="K94" s="1">
        <f t="shared" si="1"/>
        <v>14</v>
      </c>
      <c r="L94" s="1">
        <f t="shared" si="1"/>
        <v>7</v>
      </c>
      <c r="M94" s="1">
        <f t="shared" si="1"/>
        <v>11</v>
      </c>
      <c r="N94" s="1">
        <f t="shared" si="1"/>
        <v>4</v>
      </c>
      <c r="O94" s="1">
        <f t="shared" si="1"/>
        <v>0</v>
      </c>
      <c r="P94" s="1">
        <f t="shared" si="1"/>
        <v>13</v>
      </c>
      <c r="Q94" s="1">
        <f t="shared" si="1"/>
        <v>0</v>
      </c>
    </row>
    <row r="95" spans="1:17" x14ac:dyDescent="0.25">
      <c r="A95" s="1" t="s">
        <v>8</v>
      </c>
      <c r="B95" s="1">
        <f t="shared" si="1"/>
        <v>5</v>
      </c>
      <c r="C95" s="1">
        <f t="shared" si="1"/>
        <v>2</v>
      </c>
      <c r="D95" s="1">
        <f t="shared" si="1"/>
        <v>9</v>
      </c>
      <c r="E95" s="1">
        <f t="shared" si="1"/>
        <v>4</v>
      </c>
      <c r="F95" s="1">
        <f t="shared" si="1"/>
        <v>11</v>
      </c>
      <c r="G95" s="1">
        <f t="shared" si="1"/>
        <v>7</v>
      </c>
      <c r="H95" s="1">
        <f t="shared" si="1"/>
        <v>12</v>
      </c>
      <c r="I95" s="1">
        <f t="shared" si="1"/>
        <v>0</v>
      </c>
      <c r="J95" s="1">
        <f t="shared" si="1"/>
        <v>16</v>
      </c>
      <c r="K95" s="1">
        <f t="shared" si="1"/>
        <v>9</v>
      </c>
      <c r="L95" s="1">
        <f t="shared" si="1"/>
        <v>4</v>
      </c>
      <c r="M95" s="1">
        <f t="shared" si="1"/>
        <v>6</v>
      </c>
      <c r="N95" s="1">
        <f t="shared" si="1"/>
        <v>13</v>
      </c>
      <c r="O95" s="1">
        <f t="shared" si="1"/>
        <v>5</v>
      </c>
      <c r="P95" s="1">
        <f t="shared" si="1"/>
        <v>5</v>
      </c>
      <c r="Q95" s="1">
        <f t="shared" si="1"/>
        <v>4</v>
      </c>
    </row>
    <row r="96" spans="1:17" x14ac:dyDescent="0.25">
      <c r="A96" s="1" t="s">
        <v>12</v>
      </c>
      <c r="B96" s="1">
        <f t="shared" si="1"/>
        <v>26</v>
      </c>
      <c r="C96" s="1">
        <f t="shared" si="1"/>
        <v>4</v>
      </c>
      <c r="D96" s="1">
        <f t="shared" si="1"/>
        <v>9</v>
      </c>
      <c r="E96" s="1">
        <f t="shared" si="1"/>
        <v>17</v>
      </c>
      <c r="F96" s="1">
        <f t="shared" si="1"/>
        <v>13</v>
      </c>
      <c r="G96" s="1">
        <f t="shared" si="1"/>
        <v>17</v>
      </c>
      <c r="H96" s="1">
        <f t="shared" si="1"/>
        <v>16</v>
      </c>
      <c r="I96" s="1">
        <f t="shared" si="1"/>
        <v>16</v>
      </c>
      <c r="J96" s="1">
        <f t="shared" si="1"/>
        <v>0</v>
      </c>
      <c r="K96" s="1">
        <f t="shared" si="1"/>
        <v>9</v>
      </c>
      <c r="L96" s="1">
        <f t="shared" si="1"/>
        <v>14</v>
      </c>
      <c r="M96" s="1">
        <f t="shared" si="1"/>
        <v>10</v>
      </c>
      <c r="N96" s="1">
        <f t="shared" si="1"/>
        <v>7</v>
      </c>
      <c r="O96" s="1">
        <f t="shared" si="1"/>
        <v>2</v>
      </c>
      <c r="P96" s="1">
        <f t="shared" si="1"/>
        <v>18</v>
      </c>
      <c r="Q96" s="1">
        <f t="shared" si="1"/>
        <v>4</v>
      </c>
    </row>
    <row r="97" spans="1:17" x14ac:dyDescent="0.25">
      <c r="A97" s="2" t="s">
        <v>23</v>
      </c>
      <c r="B97" s="1">
        <f t="shared" si="1"/>
        <v>7</v>
      </c>
      <c r="C97" s="1">
        <f t="shared" si="1"/>
        <v>5</v>
      </c>
      <c r="D97" s="1">
        <f t="shared" si="1"/>
        <v>7</v>
      </c>
      <c r="E97" s="1">
        <f t="shared" si="1"/>
        <v>7</v>
      </c>
      <c r="F97" s="1">
        <f t="shared" si="1"/>
        <v>11</v>
      </c>
      <c r="G97" s="1">
        <f t="shared" si="1"/>
        <v>11</v>
      </c>
      <c r="H97" s="1">
        <f t="shared" si="1"/>
        <v>14</v>
      </c>
      <c r="I97" s="1">
        <f t="shared" si="1"/>
        <v>9</v>
      </c>
      <c r="J97" s="1">
        <f t="shared" si="1"/>
        <v>9</v>
      </c>
      <c r="K97" s="1">
        <f t="shared" si="1"/>
        <v>0</v>
      </c>
      <c r="L97" s="1">
        <f t="shared" si="1"/>
        <v>6</v>
      </c>
      <c r="M97" s="1">
        <f t="shared" si="1"/>
        <v>7</v>
      </c>
      <c r="N97" s="1">
        <f t="shared" si="1"/>
        <v>3</v>
      </c>
      <c r="O97" s="1">
        <f t="shared" si="1"/>
        <v>2</v>
      </c>
      <c r="P97" s="1">
        <f t="shared" si="1"/>
        <v>3</v>
      </c>
      <c r="Q97" s="1">
        <f t="shared" si="1"/>
        <v>2</v>
      </c>
    </row>
    <row r="98" spans="1:17" x14ac:dyDescent="0.25">
      <c r="A98" s="2" t="s">
        <v>11</v>
      </c>
      <c r="B98" s="1">
        <f t="shared" si="1"/>
        <v>13</v>
      </c>
      <c r="C98" s="1">
        <f t="shared" si="1"/>
        <v>4</v>
      </c>
      <c r="D98" s="1">
        <f t="shared" si="1"/>
        <v>11</v>
      </c>
      <c r="E98" s="1">
        <f t="shared" si="1"/>
        <v>7</v>
      </c>
      <c r="F98" s="1">
        <f t="shared" si="1"/>
        <v>6</v>
      </c>
      <c r="G98" s="1">
        <f t="shared" si="1"/>
        <v>9</v>
      </c>
      <c r="H98" s="1">
        <f t="shared" si="1"/>
        <v>7</v>
      </c>
      <c r="I98" s="1">
        <f t="shared" si="1"/>
        <v>4</v>
      </c>
      <c r="J98" s="1">
        <f t="shared" si="1"/>
        <v>14</v>
      </c>
      <c r="K98" s="1">
        <f t="shared" si="1"/>
        <v>6</v>
      </c>
      <c r="L98" s="1">
        <f t="shared" si="1"/>
        <v>0</v>
      </c>
      <c r="M98" s="1">
        <f t="shared" si="1"/>
        <v>4</v>
      </c>
      <c r="N98" s="1">
        <f t="shared" si="1"/>
        <v>2</v>
      </c>
      <c r="O98" s="1">
        <f t="shared" si="1"/>
        <v>0</v>
      </c>
      <c r="P98" s="1">
        <f t="shared" si="1"/>
        <v>8</v>
      </c>
      <c r="Q98" s="1">
        <f t="shared" si="1"/>
        <v>2</v>
      </c>
    </row>
    <row r="99" spans="1:17" x14ac:dyDescent="0.25">
      <c r="A99" s="1" t="s">
        <v>9</v>
      </c>
      <c r="B99" s="1">
        <f t="shared" si="1"/>
        <v>5</v>
      </c>
      <c r="C99" s="1">
        <f t="shared" si="1"/>
        <v>2</v>
      </c>
      <c r="D99" s="1">
        <f t="shared" si="1"/>
        <v>6</v>
      </c>
      <c r="E99" s="1">
        <f t="shared" si="1"/>
        <v>8</v>
      </c>
      <c r="F99" s="1">
        <f t="shared" si="1"/>
        <v>14</v>
      </c>
      <c r="G99" s="1">
        <f t="shared" si="1"/>
        <v>11</v>
      </c>
      <c r="H99" s="1">
        <f t="shared" si="1"/>
        <v>11</v>
      </c>
      <c r="I99" s="1">
        <f t="shared" si="1"/>
        <v>6</v>
      </c>
      <c r="J99" s="1">
        <f t="shared" si="1"/>
        <v>10</v>
      </c>
      <c r="K99" s="1">
        <f t="shared" si="1"/>
        <v>7</v>
      </c>
      <c r="L99" s="1">
        <f t="shared" si="1"/>
        <v>4</v>
      </c>
      <c r="M99" s="1">
        <f t="shared" si="1"/>
        <v>0</v>
      </c>
      <c r="N99" s="1">
        <f t="shared" si="1"/>
        <v>2</v>
      </c>
      <c r="O99" s="1">
        <f t="shared" si="1"/>
        <v>0</v>
      </c>
      <c r="P99" s="1">
        <f t="shared" si="1"/>
        <v>6</v>
      </c>
      <c r="Q99" s="1">
        <f t="shared" si="1"/>
        <v>2</v>
      </c>
    </row>
    <row r="100" spans="1:17" x14ac:dyDescent="0.25">
      <c r="A100" s="1" t="s">
        <v>24</v>
      </c>
      <c r="B100" s="1">
        <f t="shared" si="1"/>
        <v>4</v>
      </c>
      <c r="C100" s="1">
        <f t="shared" si="1"/>
        <v>0</v>
      </c>
      <c r="D100" s="1">
        <f t="shared" si="1"/>
        <v>7</v>
      </c>
      <c r="E100" s="1">
        <f t="shared" si="1"/>
        <v>7</v>
      </c>
      <c r="F100" s="1">
        <f t="shared" si="1"/>
        <v>7</v>
      </c>
      <c r="G100" s="1">
        <f t="shared" si="1"/>
        <v>5</v>
      </c>
      <c r="H100" s="1">
        <f t="shared" si="1"/>
        <v>4</v>
      </c>
      <c r="I100" s="1">
        <f t="shared" si="1"/>
        <v>13</v>
      </c>
      <c r="J100" s="1">
        <f t="shared" si="1"/>
        <v>7</v>
      </c>
      <c r="K100" s="1">
        <f t="shared" si="1"/>
        <v>3</v>
      </c>
      <c r="L100" s="1">
        <f t="shared" si="1"/>
        <v>2</v>
      </c>
      <c r="M100" s="1">
        <f t="shared" si="1"/>
        <v>2</v>
      </c>
      <c r="N100" s="1">
        <f t="shared" si="1"/>
        <v>0</v>
      </c>
      <c r="O100" s="1">
        <f t="shared" si="1"/>
        <v>7</v>
      </c>
      <c r="P100" s="1">
        <f t="shared" si="1"/>
        <v>1</v>
      </c>
      <c r="Q100" s="1">
        <f t="shared" si="1"/>
        <v>1</v>
      </c>
    </row>
    <row r="101" spans="1:17" x14ac:dyDescent="0.25">
      <c r="A101" s="1" t="s">
        <v>26</v>
      </c>
      <c r="B101" s="1">
        <f t="shared" si="1"/>
        <v>2</v>
      </c>
      <c r="C101" s="1">
        <f t="shared" si="1"/>
        <v>0</v>
      </c>
      <c r="D101" s="1">
        <f t="shared" si="1"/>
        <v>3</v>
      </c>
      <c r="E101" s="1">
        <f t="shared" si="1"/>
        <v>0</v>
      </c>
      <c r="F101" s="1">
        <f t="shared" si="1"/>
        <v>2</v>
      </c>
      <c r="G101" s="1">
        <f t="shared" si="1"/>
        <v>1</v>
      </c>
      <c r="H101" s="1">
        <f t="shared" si="1"/>
        <v>0</v>
      </c>
      <c r="I101" s="1">
        <f t="shared" si="1"/>
        <v>5</v>
      </c>
      <c r="J101" s="1">
        <f t="shared" si="1"/>
        <v>2</v>
      </c>
      <c r="K101" s="1">
        <f t="shared" si="1"/>
        <v>2</v>
      </c>
      <c r="L101" s="1">
        <f t="shared" si="1"/>
        <v>0</v>
      </c>
      <c r="M101" s="1">
        <f t="shared" si="1"/>
        <v>0</v>
      </c>
      <c r="N101" s="1">
        <f t="shared" si="1"/>
        <v>7</v>
      </c>
      <c r="O101" s="1">
        <f t="shared" si="1"/>
        <v>0</v>
      </c>
      <c r="P101" s="1">
        <f t="shared" si="1"/>
        <v>0</v>
      </c>
      <c r="Q101" s="1">
        <f t="shared" si="1"/>
        <v>0</v>
      </c>
    </row>
    <row r="102" spans="1:17" x14ac:dyDescent="0.25">
      <c r="A102" s="1" t="s">
        <v>7</v>
      </c>
      <c r="B102" s="1">
        <f t="shared" si="1"/>
        <v>18</v>
      </c>
      <c r="C102" s="1">
        <f t="shared" si="1"/>
        <v>2</v>
      </c>
      <c r="D102" s="1">
        <f t="shared" si="1"/>
        <v>13</v>
      </c>
      <c r="E102" s="1">
        <f t="shared" si="1"/>
        <v>11</v>
      </c>
      <c r="F102" s="1">
        <f t="shared" si="1"/>
        <v>13</v>
      </c>
      <c r="G102" s="1">
        <f t="shared" si="1"/>
        <v>12</v>
      </c>
      <c r="H102" s="1">
        <f t="shared" si="1"/>
        <v>13</v>
      </c>
      <c r="I102" s="1">
        <f t="shared" si="1"/>
        <v>5</v>
      </c>
      <c r="J102" s="1">
        <f t="shared" si="1"/>
        <v>18</v>
      </c>
      <c r="K102" s="1">
        <f t="shared" si="1"/>
        <v>3</v>
      </c>
      <c r="L102" s="1">
        <f t="shared" si="1"/>
        <v>8</v>
      </c>
      <c r="M102" s="1">
        <f t="shared" si="1"/>
        <v>6</v>
      </c>
      <c r="N102" s="1">
        <f t="shared" si="1"/>
        <v>1</v>
      </c>
      <c r="O102" s="1">
        <f t="shared" si="1"/>
        <v>0</v>
      </c>
      <c r="P102" s="1">
        <f t="shared" si="1"/>
        <v>0</v>
      </c>
      <c r="Q102" s="1">
        <f t="shared" si="1"/>
        <v>0</v>
      </c>
    </row>
    <row r="103" spans="1:17" x14ac:dyDescent="0.25">
      <c r="A103" s="1" t="s">
        <v>10</v>
      </c>
      <c r="B103" s="1">
        <f t="shared" si="1"/>
        <v>1</v>
      </c>
      <c r="C103" s="1">
        <f t="shared" si="1"/>
        <v>0</v>
      </c>
      <c r="D103" s="1">
        <f t="shared" si="1"/>
        <v>0</v>
      </c>
      <c r="E103" s="1">
        <f t="shared" si="1"/>
        <v>0</v>
      </c>
      <c r="F103" s="1">
        <f t="shared" si="1"/>
        <v>0</v>
      </c>
      <c r="G103" s="1">
        <f t="shared" si="1"/>
        <v>0</v>
      </c>
      <c r="H103" s="1">
        <f t="shared" si="1"/>
        <v>0</v>
      </c>
      <c r="I103" s="1">
        <f t="shared" si="1"/>
        <v>4</v>
      </c>
      <c r="J103" s="1">
        <f t="shared" si="1"/>
        <v>4</v>
      </c>
      <c r="K103" s="1">
        <f t="shared" si="1"/>
        <v>2</v>
      </c>
      <c r="L103" s="1">
        <f t="shared" si="1"/>
        <v>2</v>
      </c>
      <c r="M103" s="1">
        <f t="shared" si="1"/>
        <v>2</v>
      </c>
      <c r="N103" s="1">
        <f t="shared" si="1"/>
        <v>1</v>
      </c>
      <c r="O103" s="1">
        <f t="shared" si="1"/>
        <v>0</v>
      </c>
      <c r="P103" s="1">
        <f t="shared" si="1"/>
        <v>0</v>
      </c>
      <c r="Q103" s="1">
        <f t="shared" si="1"/>
        <v>0</v>
      </c>
    </row>
    <row r="106" spans="1:17" x14ac:dyDescent="0.25">
      <c r="A106" s="3" t="s">
        <v>88</v>
      </c>
    </row>
    <row r="107" spans="1:17" x14ac:dyDescent="0.25">
      <c r="B107" s="1" t="s">
        <v>3</v>
      </c>
      <c r="C107" s="1" t="s">
        <v>18</v>
      </c>
      <c r="D107" s="1" t="s">
        <v>16</v>
      </c>
      <c r="E107" s="1" t="s">
        <v>22</v>
      </c>
      <c r="F107" s="1" t="s">
        <v>4</v>
      </c>
      <c r="G107" s="1" t="s">
        <v>6</v>
      </c>
      <c r="H107" s="1" t="s">
        <v>5</v>
      </c>
      <c r="I107" s="1" t="s">
        <v>8</v>
      </c>
      <c r="J107" s="1" t="s">
        <v>12</v>
      </c>
      <c r="K107" s="2" t="s">
        <v>23</v>
      </c>
      <c r="L107" s="2" t="s">
        <v>11</v>
      </c>
      <c r="M107" s="1" t="s">
        <v>9</v>
      </c>
      <c r="N107" s="1" t="s">
        <v>24</v>
      </c>
      <c r="O107" s="1" t="s">
        <v>26</v>
      </c>
      <c r="P107" s="1" t="s">
        <v>7</v>
      </c>
      <c r="Q107" s="1" t="s">
        <v>10</v>
      </c>
    </row>
    <row r="108" spans="1:17" x14ac:dyDescent="0.25">
      <c r="A108" s="1" t="s">
        <v>3</v>
      </c>
      <c r="B108" s="7" t="str">
        <f t="shared" ref="B108:Q123" si="2">IFERROR(B48/B88,"")</f>
        <v/>
      </c>
      <c r="C108" s="7">
        <f t="shared" si="2"/>
        <v>0.6</v>
      </c>
      <c r="D108" s="7">
        <f t="shared" si="2"/>
        <v>0.47058823529411764</v>
      </c>
      <c r="E108" s="7">
        <f t="shared" si="2"/>
        <v>0.46153846153846156</v>
      </c>
      <c r="F108" s="7">
        <f t="shared" si="2"/>
        <v>0.61111111111111116</v>
      </c>
      <c r="G108" s="7">
        <f t="shared" si="2"/>
        <v>0.6875</v>
      </c>
      <c r="H108" s="7">
        <f t="shared" si="2"/>
        <v>0.6</v>
      </c>
      <c r="I108" s="7">
        <f t="shared" si="2"/>
        <v>0.8</v>
      </c>
      <c r="J108" s="7">
        <f t="shared" si="2"/>
        <v>0.53846153846153844</v>
      </c>
      <c r="K108" s="7">
        <f t="shared" si="2"/>
        <v>0.5714285714285714</v>
      </c>
      <c r="L108" s="7">
        <f t="shared" si="2"/>
        <v>0.61538461538461542</v>
      </c>
      <c r="M108" s="7">
        <f t="shared" si="2"/>
        <v>0.2</v>
      </c>
      <c r="N108" s="7">
        <f t="shared" si="2"/>
        <v>0.25</v>
      </c>
      <c r="O108" s="7">
        <f t="shared" si="2"/>
        <v>0</v>
      </c>
      <c r="P108" s="7">
        <f t="shared" si="2"/>
        <v>0.72222222222222221</v>
      </c>
      <c r="Q108" s="7">
        <f t="shared" si="2"/>
        <v>0</v>
      </c>
    </row>
    <row r="109" spans="1:17" x14ac:dyDescent="0.25">
      <c r="A109" s="1" t="s">
        <v>18</v>
      </c>
      <c r="B109" s="7">
        <f t="shared" si="2"/>
        <v>0.6</v>
      </c>
      <c r="C109" s="7" t="str">
        <f t="shared" si="2"/>
        <v/>
      </c>
      <c r="D109" s="7">
        <f t="shared" si="2"/>
        <v>1</v>
      </c>
      <c r="E109" s="7">
        <f t="shared" si="2"/>
        <v>0</v>
      </c>
      <c r="F109" s="7">
        <f t="shared" si="2"/>
        <v>0.5</v>
      </c>
      <c r="G109" s="7">
        <f t="shared" si="2"/>
        <v>0</v>
      </c>
      <c r="H109" s="7">
        <f t="shared" si="2"/>
        <v>0.25</v>
      </c>
      <c r="I109" s="7">
        <f t="shared" si="2"/>
        <v>0.5</v>
      </c>
      <c r="J109" s="7">
        <f t="shared" si="2"/>
        <v>0.25</v>
      </c>
      <c r="K109" s="7">
        <f t="shared" si="2"/>
        <v>0.2</v>
      </c>
      <c r="L109" s="7">
        <f t="shared" si="2"/>
        <v>0.5</v>
      </c>
      <c r="M109" s="7">
        <f t="shared" si="2"/>
        <v>0</v>
      </c>
      <c r="N109" s="7" t="str">
        <f t="shared" si="2"/>
        <v/>
      </c>
      <c r="O109" s="7" t="str">
        <f t="shared" si="2"/>
        <v/>
      </c>
      <c r="P109" s="7">
        <f t="shared" si="2"/>
        <v>0.5</v>
      </c>
      <c r="Q109" s="7" t="str">
        <f t="shared" si="2"/>
        <v/>
      </c>
    </row>
    <row r="110" spans="1:17" x14ac:dyDescent="0.25">
      <c r="A110" s="1" t="s">
        <v>16</v>
      </c>
      <c r="B110" s="7">
        <f t="shared" si="2"/>
        <v>0.47058823529411764</v>
      </c>
      <c r="C110" s="7">
        <f t="shared" si="2"/>
        <v>1</v>
      </c>
      <c r="D110" s="7" t="str">
        <f t="shared" si="2"/>
        <v/>
      </c>
      <c r="E110" s="7">
        <f t="shared" si="2"/>
        <v>0.33333333333333331</v>
      </c>
      <c r="F110" s="7">
        <f t="shared" si="2"/>
        <v>0.55000000000000004</v>
      </c>
      <c r="G110" s="7">
        <f t="shared" si="2"/>
        <v>0.44444444444444442</v>
      </c>
      <c r="H110" s="7">
        <f t="shared" si="2"/>
        <v>0.42105263157894735</v>
      </c>
      <c r="I110" s="7">
        <f t="shared" si="2"/>
        <v>0.44444444444444442</v>
      </c>
      <c r="J110" s="7">
        <f t="shared" si="2"/>
        <v>0.44444444444444442</v>
      </c>
      <c r="K110" s="7">
        <f t="shared" si="2"/>
        <v>0.42857142857142855</v>
      </c>
      <c r="L110" s="7">
        <f t="shared" si="2"/>
        <v>0.54545454545454541</v>
      </c>
      <c r="M110" s="7">
        <f t="shared" si="2"/>
        <v>0.16666666666666666</v>
      </c>
      <c r="N110" s="7">
        <f t="shared" si="2"/>
        <v>0.14285714285714285</v>
      </c>
      <c r="O110" s="7">
        <f t="shared" si="2"/>
        <v>0.33333333333333331</v>
      </c>
      <c r="P110" s="7">
        <f t="shared" si="2"/>
        <v>0.61538461538461542</v>
      </c>
      <c r="Q110" s="7" t="str">
        <f t="shared" si="2"/>
        <v/>
      </c>
    </row>
    <row r="111" spans="1:17" x14ac:dyDescent="0.25">
      <c r="A111" s="1" t="s">
        <v>22</v>
      </c>
      <c r="B111" s="7">
        <f t="shared" si="2"/>
        <v>0.46153846153846156</v>
      </c>
      <c r="C111" s="7">
        <f t="shared" si="2"/>
        <v>0</v>
      </c>
      <c r="D111" s="7">
        <f t="shared" si="2"/>
        <v>0.33333333333333331</v>
      </c>
      <c r="E111" s="7" t="str">
        <f t="shared" si="2"/>
        <v/>
      </c>
      <c r="F111" s="7">
        <f t="shared" si="2"/>
        <v>0.6</v>
      </c>
      <c r="G111" s="7">
        <f t="shared" si="2"/>
        <v>0.55555555555555558</v>
      </c>
      <c r="H111" s="7">
        <f t="shared" si="2"/>
        <v>0.55555555555555558</v>
      </c>
      <c r="I111" s="7">
        <f t="shared" si="2"/>
        <v>0.5</v>
      </c>
      <c r="J111" s="7">
        <f t="shared" si="2"/>
        <v>0.47058823529411764</v>
      </c>
      <c r="K111" s="7">
        <f t="shared" si="2"/>
        <v>0.14285714285714285</v>
      </c>
      <c r="L111" s="7">
        <f t="shared" si="2"/>
        <v>0.5714285714285714</v>
      </c>
      <c r="M111" s="7">
        <f t="shared" si="2"/>
        <v>0.5</v>
      </c>
      <c r="N111" s="7">
        <f t="shared" si="2"/>
        <v>0.42857142857142855</v>
      </c>
      <c r="O111" s="7" t="str">
        <f t="shared" si="2"/>
        <v/>
      </c>
      <c r="P111" s="7">
        <f t="shared" si="2"/>
        <v>0.54545454545454541</v>
      </c>
      <c r="Q111" s="7" t="str">
        <f t="shared" si="2"/>
        <v/>
      </c>
    </row>
    <row r="112" spans="1:17" x14ac:dyDescent="0.25">
      <c r="A112" s="1" t="s">
        <v>4</v>
      </c>
      <c r="B112" s="7">
        <f t="shared" si="2"/>
        <v>0.61111111111111116</v>
      </c>
      <c r="C112" s="7">
        <f t="shared" si="2"/>
        <v>0.5</v>
      </c>
      <c r="D112" s="7">
        <f t="shared" si="2"/>
        <v>0.55000000000000004</v>
      </c>
      <c r="E112" s="7">
        <f t="shared" si="2"/>
        <v>0.6</v>
      </c>
      <c r="F112" s="7" t="str">
        <f t="shared" si="2"/>
        <v/>
      </c>
      <c r="G112" s="7">
        <f t="shared" si="2"/>
        <v>0.66666666666666663</v>
      </c>
      <c r="H112" s="7">
        <f t="shared" si="2"/>
        <v>0.59259259259259256</v>
      </c>
      <c r="I112" s="7">
        <f t="shared" si="2"/>
        <v>0.72727272727272729</v>
      </c>
      <c r="J112" s="7">
        <f t="shared" si="2"/>
        <v>0.69230769230769229</v>
      </c>
      <c r="K112" s="7">
        <f t="shared" si="2"/>
        <v>0.45454545454545453</v>
      </c>
      <c r="L112" s="7">
        <f t="shared" si="2"/>
        <v>0.5</v>
      </c>
      <c r="M112" s="7">
        <f t="shared" si="2"/>
        <v>0.35714285714285715</v>
      </c>
      <c r="N112" s="7">
        <f t="shared" si="2"/>
        <v>0.5714285714285714</v>
      </c>
      <c r="O112" s="7">
        <f t="shared" si="2"/>
        <v>1</v>
      </c>
      <c r="P112" s="7">
        <f t="shared" si="2"/>
        <v>0.84615384615384615</v>
      </c>
      <c r="Q112" s="7" t="str">
        <f t="shared" si="2"/>
        <v/>
      </c>
    </row>
    <row r="113" spans="1:17" x14ac:dyDescent="0.25">
      <c r="A113" s="1" t="s">
        <v>6</v>
      </c>
      <c r="B113" s="7">
        <f t="shared" si="2"/>
        <v>0.6875</v>
      </c>
      <c r="C113" s="7">
        <f t="shared" si="2"/>
        <v>0</v>
      </c>
      <c r="D113" s="7">
        <f t="shared" si="2"/>
        <v>0.44444444444444442</v>
      </c>
      <c r="E113" s="7">
        <f t="shared" si="2"/>
        <v>0.55555555555555558</v>
      </c>
      <c r="F113" s="7">
        <f t="shared" si="2"/>
        <v>0.66666666666666663</v>
      </c>
      <c r="G113" s="7" t="str">
        <f t="shared" si="2"/>
        <v/>
      </c>
      <c r="H113" s="7">
        <f t="shared" si="2"/>
        <v>0.60869565217391308</v>
      </c>
      <c r="I113" s="7">
        <f t="shared" si="2"/>
        <v>0.42857142857142855</v>
      </c>
      <c r="J113" s="7">
        <f t="shared" si="2"/>
        <v>0.58823529411764708</v>
      </c>
      <c r="K113" s="7">
        <f t="shared" si="2"/>
        <v>0.45454545454545453</v>
      </c>
      <c r="L113" s="7">
        <f t="shared" si="2"/>
        <v>0.66666666666666663</v>
      </c>
      <c r="M113" s="7">
        <f t="shared" si="2"/>
        <v>0.45454545454545453</v>
      </c>
      <c r="N113" s="7">
        <f t="shared" si="2"/>
        <v>0.4</v>
      </c>
      <c r="O113" s="7">
        <f t="shared" si="2"/>
        <v>0</v>
      </c>
      <c r="P113" s="7">
        <f t="shared" si="2"/>
        <v>0.83333333333333337</v>
      </c>
      <c r="Q113" s="7" t="str">
        <f t="shared" si="2"/>
        <v/>
      </c>
    </row>
    <row r="114" spans="1:17" x14ac:dyDescent="0.25">
      <c r="A114" s="1" t="s">
        <v>5</v>
      </c>
      <c r="B114" s="7">
        <f t="shared" si="2"/>
        <v>0.6</v>
      </c>
      <c r="C114" s="7">
        <f t="shared" si="2"/>
        <v>0.25</v>
      </c>
      <c r="D114" s="7">
        <f t="shared" si="2"/>
        <v>0.42105263157894735</v>
      </c>
      <c r="E114" s="7">
        <f t="shared" si="2"/>
        <v>0.55555555555555558</v>
      </c>
      <c r="F114" s="7">
        <f t="shared" si="2"/>
        <v>0.59259259259259256</v>
      </c>
      <c r="G114" s="7">
        <f t="shared" si="2"/>
        <v>0.60869565217391308</v>
      </c>
      <c r="H114" s="7" t="str">
        <f t="shared" si="2"/>
        <v/>
      </c>
      <c r="I114" s="7">
        <f t="shared" si="2"/>
        <v>0.41666666666666669</v>
      </c>
      <c r="J114" s="7">
        <f t="shared" si="2"/>
        <v>0.5</v>
      </c>
      <c r="K114" s="7">
        <f t="shared" si="2"/>
        <v>0.42857142857142855</v>
      </c>
      <c r="L114" s="7">
        <f t="shared" si="2"/>
        <v>0.5714285714285714</v>
      </c>
      <c r="M114" s="7">
        <f t="shared" si="2"/>
        <v>0.36363636363636365</v>
      </c>
      <c r="N114" s="7">
        <f t="shared" si="2"/>
        <v>0.25</v>
      </c>
      <c r="O114" s="7" t="str">
        <f t="shared" si="2"/>
        <v/>
      </c>
      <c r="P114" s="7">
        <f t="shared" si="2"/>
        <v>0.76923076923076927</v>
      </c>
      <c r="Q114" s="7" t="str">
        <f t="shared" si="2"/>
        <v/>
      </c>
    </row>
    <row r="115" spans="1:17" x14ac:dyDescent="0.25">
      <c r="A115" s="1" t="s">
        <v>8</v>
      </c>
      <c r="B115" s="7">
        <f t="shared" si="2"/>
        <v>0.8</v>
      </c>
      <c r="C115" s="7">
        <f t="shared" si="2"/>
        <v>0.5</v>
      </c>
      <c r="D115" s="7">
        <f t="shared" si="2"/>
        <v>0.44444444444444442</v>
      </c>
      <c r="E115" s="7">
        <f t="shared" si="2"/>
        <v>0.5</v>
      </c>
      <c r="F115" s="7">
        <f t="shared" si="2"/>
        <v>0.72727272727272729</v>
      </c>
      <c r="G115" s="7">
        <f t="shared" si="2"/>
        <v>0.42857142857142855</v>
      </c>
      <c r="H115" s="7">
        <f t="shared" si="2"/>
        <v>0.41666666666666669</v>
      </c>
      <c r="I115" s="7" t="str">
        <f t="shared" si="2"/>
        <v/>
      </c>
      <c r="J115" s="7">
        <f t="shared" si="2"/>
        <v>0.375</v>
      </c>
      <c r="K115" s="7">
        <f t="shared" si="2"/>
        <v>0.44444444444444442</v>
      </c>
      <c r="L115" s="7">
        <f t="shared" si="2"/>
        <v>0.5</v>
      </c>
      <c r="M115" s="7">
        <f t="shared" si="2"/>
        <v>0</v>
      </c>
      <c r="N115" s="7">
        <f t="shared" si="2"/>
        <v>0.38461538461538464</v>
      </c>
      <c r="O115" s="7">
        <f t="shared" si="2"/>
        <v>0.6</v>
      </c>
      <c r="P115" s="7">
        <f t="shared" si="2"/>
        <v>1</v>
      </c>
      <c r="Q115" s="7">
        <f t="shared" si="2"/>
        <v>0</v>
      </c>
    </row>
    <row r="116" spans="1:17" x14ac:dyDescent="0.25">
      <c r="A116" s="1" t="s">
        <v>12</v>
      </c>
      <c r="B116" s="7">
        <f t="shared" si="2"/>
        <v>0.53846153846153844</v>
      </c>
      <c r="C116" s="7">
        <f t="shared" si="2"/>
        <v>0.25</v>
      </c>
      <c r="D116" s="7">
        <f t="shared" si="2"/>
        <v>0.44444444444444442</v>
      </c>
      <c r="E116" s="7">
        <f t="shared" si="2"/>
        <v>0.47058823529411764</v>
      </c>
      <c r="F116" s="7">
        <f t="shared" si="2"/>
        <v>0.69230769230769229</v>
      </c>
      <c r="G116" s="7">
        <f t="shared" si="2"/>
        <v>0.58823529411764708</v>
      </c>
      <c r="H116" s="7">
        <f t="shared" si="2"/>
        <v>0.5</v>
      </c>
      <c r="I116" s="7">
        <f t="shared" si="2"/>
        <v>0.375</v>
      </c>
      <c r="J116" s="7" t="str">
        <f t="shared" si="2"/>
        <v/>
      </c>
      <c r="K116" s="7">
        <f t="shared" si="2"/>
        <v>0.33333333333333331</v>
      </c>
      <c r="L116" s="7">
        <f t="shared" si="2"/>
        <v>0.5714285714285714</v>
      </c>
      <c r="M116" s="7">
        <f t="shared" si="2"/>
        <v>0.5</v>
      </c>
      <c r="N116" s="7">
        <f t="shared" si="2"/>
        <v>0.14285714285714285</v>
      </c>
      <c r="O116" s="7">
        <f t="shared" si="2"/>
        <v>0</v>
      </c>
      <c r="P116" s="7">
        <f t="shared" si="2"/>
        <v>0.66666666666666663</v>
      </c>
      <c r="Q116" s="7">
        <f t="shared" si="2"/>
        <v>0</v>
      </c>
    </row>
    <row r="117" spans="1:17" x14ac:dyDescent="0.25">
      <c r="A117" s="2" t="s">
        <v>23</v>
      </c>
      <c r="B117" s="7">
        <f t="shared" si="2"/>
        <v>0.5714285714285714</v>
      </c>
      <c r="C117" s="7">
        <f t="shared" si="2"/>
        <v>0.2</v>
      </c>
      <c r="D117" s="7">
        <f t="shared" si="2"/>
        <v>0.42857142857142855</v>
      </c>
      <c r="E117" s="7">
        <f t="shared" si="2"/>
        <v>0.14285714285714285</v>
      </c>
      <c r="F117" s="7">
        <f t="shared" si="2"/>
        <v>0.45454545454545453</v>
      </c>
      <c r="G117" s="7">
        <f t="shared" si="2"/>
        <v>0.45454545454545453</v>
      </c>
      <c r="H117" s="7">
        <f t="shared" si="2"/>
        <v>0.42857142857142855</v>
      </c>
      <c r="I117" s="7">
        <f t="shared" si="2"/>
        <v>0.44444444444444442</v>
      </c>
      <c r="J117" s="7">
        <f t="shared" si="2"/>
        <v>0.33333333333333331</v>
      </c>
      <c r="K117" s="7" t="str">
        <f t="shared" si="2"/>
        <v/>
      </c>
      <c r="L117" s="7">
        <f t="shared" si="2"/>
        <v>0.66666666666666663</v>
      </c>
      <c r="M117" s="7">
        <f t="shared" si="2"/>
        <v>0.14285714285714285</v>
      </c>
      <c r="N117" s="7">
        <f t="shared" si="2"/>
        <v>0.66666666666666663</v>
      </c>
      <c r="O117" s="7">
        <f t="shared" si="2"/>
        <v>1</v>
      </c>
      <c r="P117" s="7">
        <f t="shared" si="2"/>
        <v>0.66666666666666663</v>
      </c>
      <c r="Q117" s="7">
        <f t="shared" si="2"/>
        <v>0</v>
      </c>
    </row>
    <row r="118" spans="1:17" x14ac:dyDescent="0.25">
      <c r="A118" s="2" t="s">
        <v>11</v>
      </c>
      <c r="B118" s="7">
        <f t="shared" si="2"/>
        <v>0.61538461538461542</v>
      </c>
      <c r="C118" s="7">
        <f t="shared" si="2"/>
        <v>0.5</v>
      </c>
      <c r="D118" s="7">
        <f t="shared" si="2"/>
        <v>0.54545454545454541</v>
      </c>
      <c r="E118" s="7">
        <f t="shared" si="2"/>
        <v>0.5714285714285714</v>
      </c>
      <c r="F118" s="7">
        <f t="shared" si="2"/>
        <v>0.5</v>
      </c>
      <c r="G118" s="7">
        <f t="shared" si="2"/>
        <v>0.66666666666666663</v>
      </c>
      <c r="H118" s="7">
        <f t="shared" si="2"/>
        <v>0.5714285714285714</v>
      </c>
      <c r="I118" s="7">
        <f t="shared" si="2"/>
        <v>0.5</v>
      </c>
      <c r="J118" s="7">
        <f t="shared" si="2"/>
        <v>0.5714285714285714</v>
      </c>
      <c r="K118" s="7">
        <f t="shared" si="2"/>
        <v>0.66666666666666663</v>
      </c>
      <c r="L118" s="7" t="str">
        <f t="shared" si="2"/>
        <v/>
      </c>
      <c r="M118" s="7">
        <f t="shared" si="2"/>
        <v>0.25</v>
      </c>
      <c r="N118" s="7">
        <f t="shared" si="2"/>
        <v>0.5</v>
      </c>
      <c r="O118" s="7" t="str">
        <f t="shared" si="2"/>
        <v/>
      </c>
      <c r="P118" s="7">
        <f t="shared" si="2"/>
        <v>0.75</v>
      </c>
      <c r="Q118" s="7">
        <f t="shared" si="2"/>
        <v>0</v>
      </c>
    </row>
    <row r="119" spans="1:17" x14ac:dyDescent="0.25">
      <c r="A119" s="1" t="s">
        <v>9</v>
      </c>
      <c r="B119" s="7">
        <f t="shared" si="2"/>
        <v>0.2</v>
      </c>
      <c r="C119" s="7">
        <f t="shared" si="2"/>
        <v>0</v>
      </c>
      <c r="D119" s="7">
        <f t="shared" si="2"/>
        <v>0.16666666666666666</v>
      </c>
      <c r="E119" s="7">
        <f t="shared" si="2"/>
        <v>0.5</v>
      </c>
      <c r="F119" s="7">
        <f t="shared" si="2"/>
        <v>0.35714285714285715</v>
      </c>
      <c r="G119" s="7">
        <f t="shared" si="2"/>
        <v>0.45454545454545453</v>
      </c>
      <c r="H119" s="7">
        <f t="shared" si="2"/>
        <v>0.36363636363636365</v>
      </c>
      <c r="I119" s="7">
        <f t="shared" si="2"/>
        <v>0</v>
      </c>
      <c r="J119" s="7">
        <f t="shared" si="2"/>
        <v>0.5</v>
      </c>
      <c r="K119" s="7">
        <f t="shared" si="2"/>
        <v>0.14285714285714285</v>
      </c>
      <c r="L119" s="7">
        <f t="shared" si="2"/>
        <v>0.25</v>
      </c>
      <c r="M119" s="7" t="str">
        <f t="shared" si="2"/>
        <v/>
      </c>
      <c r="N119" s="7">
        <f t="shared" si="2"/>
        <v>0</v>
      </c>
      <c r="O119" s="7" t="str">
        <f t="shared" si="2"/>
        <v/>
      </c>
      <c r="P119" s="7">
        <f t="shared" si="2"/>
        <v>0.66666666666666663</v>
      </c>
      <c r="Q119" s="7">
        <f t="shared" si="2"/>
        <v>0</v>
      </c>
    </row>
    <row r="120" spans="1:17" x14ac:dyDescent="0.25">
      <c r="A120" s="1" t="s">
        <v>24</v>
      </c>
      <c r="B120" s="7">
        <f t="shared" si="2"/>
        <v>0.25</v>
      </c>
      <c r="C120" s="7" t="str">
        <f t="shared" si="2"/>
        <v/>
      </c>
      <c r="D120" s="7">
        <f t="shared" si="2"/>
        <v>0.14285714285714285</v>
      </c>
      <c r="E120" s="7">
        <f t="shared" si="2"/>
        <v>0.42857142857142855</v>
      </c>
      <c r="F120" s="7">
        <f t="shared" si="2"/>
        <v>0.5714285714285714</v>
      </c>
      <c r="G120" s="7">
        <f t="shared" si="2"/>
        <v>0.4</v>
      </c>
      <c r="H120" s="7">
        <f t="shared" si="2"/>
        <v>0.25</v>
      </c>
      <c r="I120" s="7">
        <f t="shared" si="2"/>
        <v>0.38461538461538464</v>
      </c>
      <c r="J120" s="7">
        <f t="shared" si="2"/>
        <v>0.14285714285714285</v>
      </c>
      <c r="K120" s="7">
        <f t="shared" si="2"/>
        <v>0.66666666666666663</v>
      </c>
      <c r="L120" s="7">
        <f t="shared" si="2"/>
        <v>0.5</v>
      </c>
      <c r="M120" s="7">
        <f t="shared" si="2"/>
        <v>0</v>
      </c>
      <c r="N120" s="7" t="str">
        <f t="shared" si="2"/>
        <v/>
      </c>
      <c r="O120" s="7">
        <f t="shared" si="2"/>
        <v>0.42857142857142855</v>
      </c>
      <c r="P120" s="7">
        <f t="shared" si="2"/>
        <v>1</v>
      </c>
      <c r="Q120" s="7">
        <f t="shared" si="2"/>
        <v>0</v>
      </c>
    </row>
    <row r="121" spans="1:17" x14ac:dyDescent="0.25">
      <c r="A121" s="1" t="s">
        <v>26</v>
      </c>
      <c r="B121" s="7">
        <f t="shared" si="2"/>
        <v>0</v>
      </c>
      <c r="C121" s="7" t="str">
        <f t="shared" si="2"/>
        <v/>
      </c>
      <c r="D121" s="7">
        <f t="shared" si="2"/>
        <v>0.33333333333333331</v>
      </c>
      <c r="E121" s="7" t="str">
        <f t="shared" si="2"/>
        <v/>
      </c>
      <c r="F121" s="7">
        <f t="shared" si="2"/>
        <v>1</v>
      </c>
      <c r="G121" s="7">
        <f t="shared" si="2"/>
        <v>0</v>
      </c>
      <c r="H121" s="7" t="str">
        <f t="shared" si="2"/>
        <v/>
      </c>
      <c r="I121" s="7">
        <f t="shared" si="2"/>
        <v>0.6</v>
      </c>
      <c r="J121" s="7">
        <f t="shared" si="2"/>
        <v>0</v>
      </c>
      <c r="K121" s="7">
        <f t="shared" si="2"/>
        <v>1</v>
      </c>
      <c r="L121" s="7" t="str">
        <f t="shared" si="2"/>
        <v/>
      </c>
      <c r="M121" s="7" t="str">
        <f t="shared" si="2"/>
        <v/>
      </c>
      <c r="N121" s="7">
        <f t="shared" si="2"/>
        <v>0.42857142857142855</v>
      </c>
      <c r="O121" s="7" t="str">
        <f t="shared" si="2"/>
        <v/>
      </c>
      <c r="P121" s="7" t="str">
        <f t="shared" si="2"/>
        <v/>
      </c>
      <c r="Q121" s="7" t="str">
        <f t="shared" si="2"/>
        <v/>
      </c>
    </row>
    <row r="122" spans="1:17" x14ac:dyDescent="0.25">
      <c r="A122" s="1" t="s">
        <v>7</v>
      </c>
      <c r="B122" s="7">
        <f t="shared" si="2"/>
        <v>0.72222222222222221</v>
      </c>
      <c r="C122" s="7">
        <f t="shared" si="2"/>
        <v>0.5</v>
      </c>
      <c r="D122" s="7">
        <f t="shared" si="2"/>
        <v>0.61538461538461542</v>
      </c>
      <c r="E122" s="7">
        <f t="shared" si="2"/>
        <v>0.54545454545454541</v>
      </c>
      <c r="F122" s="7">
        <f t="shared" si="2"/>
        <v>0.84615384615384615</v>
      </c>
      <c r="G122" s="7">
        <f t="shared" si="2"/>
        <v>0.83333333333333337</v>
      </c>
      <c r="H122" s="7">
        <f t="shared" si="2"/>
        <v>0.76923076923076927</v>
      </c>
      <c r="I122" s="7">
        <f t="shared" si="2"/>
        <v>1</v>
      </c>
      <c r="J122" s="7">
        <f t="shared" si="2"/>
        <v>0.66666666666666663</v>
      </c>
      <c r="K122" s="7">
        <f t="shared" si="2"/>
        <v>0.66666666666666663</v>
      </c>
      <c r="L122" s="7">
        <f t="shared" si="2"/>
        <v>0.75</v>
      </c>
      <c r="M122" s="7">
        <f t="shared" si="2"/>
        <v>0.66666666666666663</v>
      </c>
      <c r="N122" s="7">
        <f t="shared" si="2"/>
        <v>1</v>
      </c>
      <c r="O122" s="7" t="str">
        <f t="shared" si="2"/>
        <v/>
      </c>
      <c r="P122" s="7" t="str">
        <f t="shared" si="2"/>
        <v/>
      </c>
      <c r="Q122" s="7" t="str">
        <f t="shared" si="2"/>
        <v/>
      </c>
    </row>
    <row r="123" spans="1:17" x14ac:dyDescent="0.25">
      <c r="A123" s="1" t="s">
        <v>10</v>
      </c>
      <c r="B123" s="7">
        <f t="shared" si="2"/>
        <v>0</v>
      </c>
      <c r="C123" s="7" t="str">
        <f t="shared" si="2"/>
        <v/>
      </c>
      <c r="D123" s="7" t="str">
        <f t="shared" si="2"/>
        <v/>
      </c>
      <c r="E123" s="7" t="str">
        <f t="shared" si="2"/>
        <v/>
      </c>
      <c r="F123" s="7" t="str">
        <f t="shared" si="2"/>
        <v/>
      </c>
      <c r="G123" s="7" t="str">
        <f t="shared" si="2"/>
        <v/>
      </c>
      <c r="H123" s="7" t="str">
        <f t="shared" si="2"/>
        <v/>
      </c>
      <c r="I123" s="7">
        <f t="shared" si="2"/>
        <v>0</v>
      </c>
      <c r="J123" s="7">
        <f t="shared" si="2"/>
        <v>0</v>
      </c>
      <c r="K123" s="7">
        <f t="shared" si="2"/>
        <v>0</v>
      </c>
      <c r="L123" s="7">
        <f t="shared" si="2"/>
        <v>0</v>
      </c>
      <c r="M123" s="7">
        <f t="shared" si="2"/>
        <v>0</v>
      </c>
      <c r="N123" s="7">
        <f t="shared" si="2"/>
        <v>0</v>
      </c>
      <c r="O123" s="7" t="str">
        <f t="shared" si="2"/>
        <v/>
      </c>
      <c r="P123" s="7" t="str">
        <f t="shared" si="2"/>
        <v/>
      </c>
      <c r="Q123" s="7" t="str">
        <f t="shared" ref="Q123" si="3">IFERROR(Q63/Q103,"")</f>
        <v/>
      </c>
    </row>
    <row r="126" spans="1:17" x14ac:dyDescent="0.25">
      <c r="A126" s="3" t="s">
        <v>89</v>
      </c>
    </row>
    <row r="127" spans="1:17" x14ac:dyDescent="0.25">
      <c r="B127" s="1" t="s">
        <v>3</v>
      </c>
      <c r="C127" s="1" t="s">
        <v>18</v>
      </c>
      <c r="D127" s="1" t="s">
        <v>16</v>
      </c>
      <c r="E127" s="1" t="s">
        <v>22</v>
      </c>
      <c r="F127" s="1" t="s">
        <v>4</v>
      </c>
      <c r="G127" s="1" t="s">
        <v>6</v>
      </c>
      <c r="H127" s="1" t="s">
        <v>5</v>
      </c>
      <c r="I127" s="1" t="s">
        <v>8</v>
      </c>
      <c r="J127" s="1" t="s">
        <v>12</v>
      </c>
      <c r="K127" s="2" t="s">
        <v>23</v>
      </c>
      <c r="L127" s="2" t="s">
        <v>11</v>
      </c>
      <c r="M127" s="1" t="s">
        <v>9</v>
      </c>
      <c r="N127" s="1" t="s">
        <v>24</v>
      </c>
      <c r="O127" s="1" t="s">
        <v>26</v>
      </c>
      <c r="P127" s="1" t="s">
        <v>7</v>
      </c>
      <c r="Q127" s="1" t="s">
        <v>10</v>
      </c>
    </row>
    <row r="128" spans="1:17" x14ac:dyDescent="0.25">
      <c r="A128" s="1" t="s">
        <v>3</v>
      </c>
      <c r="B128" s="1" t="str">
        <f>IF(B88=0,"",CONCATENATE(B48,"/",B88))</f>
        <v/>
      </c>
      <c r="C128" s="1" t="str">
        <f t="shared" ref="C128:Q128" si="4">IF(C88=0,"",CONCATENATE(C48,"/",C88))</f>
        <v>3/5</v>
      </c>
      <c r="D128" s="1" t="str">
        <f t="shared" si="4"/>
        <v>8/17</v>
      </c>
      <c r="E128" s="1" t="str">
        <f t="shared" si="4"/>
        <v>6/13</v>
      </c>
      <c r="F128" s="1" t="str">
        <f t="shared" si="4"/>
        <v>11/18</v>
      </c>
      <c r="G128" s="1" t="str">
        <f t="shared" si="4"/>
        <v>11/16</v>
      </c>
      <c r="H128" s="1" t="str">
        <f t="shared" si="4"/>
        <v>9/15</v>
      </c>
      <c r="I128" s="1" t="str">
        <f t="shared" si="4"/>
        <v>4/5</v>
      </c>
      <c r="J128" s="1" t="str">
        <f t="shared" si="4"/>
        <v>14/26</v>
      </c>
      <c r="K128" s="1" t="str">
        <f t="shared" si="4"/>
        <v>4/7</v>
      </c>
      <c r="L128" s="1" t="str">
        <f t="shared" si="4"/>
        <v>8/13</v>
      </c>
      <c r="M128" s="1" t="str">
        <f t="shared" si="4"/>
        <v>1/5</v>
      </c>
      <c r="N128" s="1" t="str">
        <f t="shared" si="4"/>
        <v>1/4</v>
      </c>
      <c r="O128" s="1" t="str">
        <f t="shared" si="4"/>
        <v>0/2</v>
      </c>
      <c r="P128" s="1" t="str">
        <f t="shared" si="4"/>
        <v>13/18</v>
      </c>
      <c r="Q128" s="1" t="str">
        <f t="shared" si="4"/>
        <v>0/1</v>
      </c>
    </row>
    <row r="129" spans="1:17" x14ac:dyDescent="0.25">
      <c r="A129" s="1" t="s">
        <v>18</v>
      </c>
      <c r="B129" s="1" t="str">
        <f t="shared" ref="B129:Q143" si="5">IF(B89=0,"",CONCATENATE(B49,"/",B89))</f>
        <v>3/5</v>
      </c>
      <c r="C129" s="1" t="str">
        <f t="shared" si="5"/>
        <v/>
      </c>
      <c r="D129" s="1" t="str">
        <f t="shared" si="5"/>
        <v>1/1</v>
      </c>
      <c r="E129" s="1" t="str">
        <f t="shared" si="5"/>
        <v>0/4</v>
      </c>
      <c r="F129" s="1" t="str">
        <f t="shared" si="5"/>
        <v>1/2</v>
      </c>
      <c r="G129" s="1" t="str">
        <f t="shared" si="5"/>
        <v>0/1</v>
      </c>
      <c r="H129" s="1" t="str">
        <f t="shared" si="5"/>
        <v>1/4</v>
      </c>
      <c r="I129" s="1" t="str">
        <f t="shared" si="5"/>
        <v>1/2</v>
      </c>
      <c r="J129" s="1" t="str">
        <f t="shared" si="5"/>
        <v>1/4</v>
      </c>
      <c r="K129" s="1" t="str">
        <f t="shared" si="5"/>
        <v>1/5</v>
      </c>
      <c r="L129" s="1" t="str">
        <f t="shared" si="5"/>
        <v>2/4</v>
      </c>
      <c r="M129" s="1" t="str">
        <f t="shared" si="5"/>
        <v>0/2</v>
      </c>
      <c r="N129" s="1" t="str">
        <f t="shared" si="5"/>
        <v/>
      </c>
      <c r="O129" s="1" t="str">
        <f t="shared" si="5"/>
        <v/>
      </c>
      <c r="P129" s="1" t="str">
        <f t="shared" si="5"/>
        <v>1/2</v>
      </c>
      <c r="Q129" s="1" t="str">
        <f t="shared" si="5"/>
        <v/>
      </c>
    </row>
    <row r="130" spans="1:17" x14ac:dyDescent="0.25">
      <c r="A130" s="1" t="s">
        <v>16</v>
      </c>
      <c r="B130" s="1" t="str">
        <f t="shared" si="5"/>
        <v>8/17</v>
      </c>
      <c r="C130" s="1" t="str">
        <f t="shared" si="5"/>
        <v>1/1</v>
      </c>
      <c r="D130" s="1" t="str">
        <f t="shared" si="5"/>
        <v/>
      </c>
      <c r="E130" s="1" t="str">
        <f t="shared" si="5"/>
        <v>4/12</v>
      </c>
      <c r="F130" s="1" t="str">
        <f t="shared" si="5"/>
        <v>11/20</v>
      </c>
      <c r="G130" s="1" t="str">
        <f t="shared" si="5"/>
        <v>4/9</v>
      </c>
      <c r="H130" s="1" t="str">
        <f t="shared" si="5"/>
        <v>8/19</v>
      </c>
      <c r="I130" s="1" t="str">
        <f t="shared" si="5"/>
        <v>4/9</v>
      </c>
      <c r="J130" s="1" t="str">
        <f t="shared" si="5"/>
        <v>4/9</v>
      </c>
      <c r="K130" s="1" t="str">
        <f t="shared" si="5"/>
        <v>3/7</v>
      </c>
      <c r="L130" s="1" t="str">
        <f t="shared" si="5"/>
        <v>6/11</v>
      </c>
      <c r="M130" s="1" t="str">
        <f t="shared" si="5"/>
        <v>1/6</v>
      </c>
      <c r="N130" s="1" t="str">
        <f t="shared" si="5"/>
        <v>1/7</v>
      </c>
      <c r="O130" s="1" t="str">
        <f t="shared" si="5"/>
        <v>1/3</v>
      </c>
      <c r="P130" s="1" t="str">
        <f t="shared" si="5"/>
        <v>8/13</v>
      </c>
      <c r="Q130" s="1" t="str">
        <f t="shared" si="5"/>
        <v/>
      </c>
    </row>
    <row r="131" spans="1:17" x14ac:dyDescent="0.25">
      <c r="A131" s="1" t="s">
        <v>22</v>
      </c>
      <c r="B131" s="1" t="str">
        <f t="shared" si="5"/>
        <v>6/13</v>
      </c>
      <c r="C131" s="1" t="str">
        <f t="shared" si="5"/>
        <v>0/4</v>
      </c>
      <c r="D131" s="1" t="str">
        <f t="shared" si="5"/>
        <v>4/12</v>
      </c>
      <c r="E131" s="1" t="str">
        <f t="shared" si="5"/>
        <v/>
      </c>
      <c r="F131" s="1" t="str">
        <f t="shared" si="5"/>
        <v>12/20</v>
      </c>
      <c r="G131" s="1" t="str">
        <f t="shared" si="5"/>
        <v>10/18</v>
      </c>
      <c r="H131" s="1" t="str">
        <f t="shared" si="5"/>
        <v>10/18</v>
      </c>
      <c r="I131" s="1" t="str">
        <f t="shared" si="5"/>
        <v>2/4</v>
      </c>
      <c r="J131" s="1" t="str">
        <f t="shared" si="5"/>
        <v>8/17</v>
      </c>
      <c r="K131" s="1" t="str">
        <f t="shared" si="5"/>
        <v>1/7</v>
      </c>
      <c r="L131" s="1" t="str">
        <f t="shared" si="5"/>
        <v>4/7</v>
      </c>
      <c r="M131" s="1" t="str">
        <f t="shared" si="5"/>
        <v>4/8</v>
      </c>
      <c r="N131" s="1" t="str">
        <f t="shared" si="5"/>
        <v>3/7</v>
      </c>
      <c r="O131" s="1" t="str">
        <f t="shared" si="5"/>
        <v/>
      </c>
      <c r="P131" s="1" t="str">
        <f t="shared" si="5"/>
        <v>6/11</v>
      </c>
      <c r="Q131" s="1" t="str">
        <f t="shared" si="5"/>
        <v/>
      </c>
    </row>
    <row r="132" spans="1:17" x14ac:dyDescent="0.25">
      <c r="A132" s="1" t="s">
        <v>4</v>
      </c>
      <c r="B132" s="1" t="str">
        <f t="shared" si="5"/>
        <v>11/18</v>
      </c>
      <c r="C132" s="1" t="str">
        <f t="shared" si="5"/>
        <v>1/2</v>
      </c>
      <c r="D132" s="1" t="str">
        <f t="shared" si="5"/>
        <v>11/20</v>
      </c>
      <c r="E132" s="1" t="str">
        <f t="shared" si="5"/>
        <v>12/20</v>
      </c>
      <c r="F132" s="1" t="str">
        <f t="shared" si="5"/>
        <v/>
      </c>
      <c r="G132" s="1" t="str">
        <f t="shared" si="5"/>
        <v>12/18</v>
      </c>
      <c r="H132" s="1" t="str">
        <f t="shared" si="5"/>
        <v>16/27</v>
      </c>
      <c r="I132" s="1" t="str">
        <f t="shared" si="5"/>
        <v>8/11</v>
      </c>
      <c r="J132" s="1" t="str">
        <f t="shared" si="5"/>
        <v>9/13</v>
      </c>
      <c r="K132" s="1" t="str">
        <f t="shared" si="5"/>
        <v>5/11</v>
      </c>
      <c r="L132" s="1" t="str">
        <f t="shared" si="5"/>
        <v>3/6</v>
      </c>
      <c r="M132" s="1" t="str">
        <f t="shared" si="5"/>
        <v>5/14</v>
      </c>
      <c r="N132" s="1" t="str">
        <f t="shared" si="5"/>
        <v>4/7</v>
      </c>
      <c r="O132" s="1" t="str">
        <f t="shared" si="5"/>
        <v>2/2</v>
      </c>
      <c r="P132" s="1" t="str">
        <f t="shared" si="5"/>
        <v>11/13</v>
      </c>
      <c r="Q132" s="1" t="str">
        <f t="shared" si="5"/>
        <v/>
      </c>
    </row>
    <row r="133" spans="1:17" x14ac:dyDescent="0.25">
      <c r="A133" s="1" t="s">
        <v>6</v>
      </c>
      <c r="B133" s="1" t="str">
        <f t="shared" si="5"/>
        <v>11/16</v>
      </c>
      <c r="C133" s="1" t="str">
        <f t="shared" si="5"/>
        <v>0/1</v>
      </c>
      <c r="D133" s="1" t="str">
        <f t="shared" si="5"/>
        <v>4/9</v>
      </c>
      <c r="E133" s="1" t="str">
        <f t="shared" si="5"/>
        <v>10/18</v>
      </c>
      <c r="F133" s="1" t="str">
        <f t="shared" si="5"/>
        <v>12/18</v>
      </c>
      <c r="G133" s="1" t="str">
        <f t="shared" si="5"/>
        <v/>
      </c>
      <c r="H133" s="1" t="str">
        <f t="shared" si="5"/>
        <v>14/23</v>
      </c>
      <c r="I133" s="1" t="str">
        <f t="shared" si="5"/>
        <v>3/7</v>
      </c>
      <c r="J133" s="1" t="str">
        <f t="shared" si="5"/>
        <v>10/17</v>
      </c>
      <c r="K133" s="1" t="str">
        <f t="shared" si="5"/>
        <v>5/11</v>
      </c>
      <c r="L133" s="1" t="str">
        <f t="shared" si="5"/>
        <v>6/9</v>
      </c>
      <c r="M133" s="1" t="str">
        <f t="shared" si="5"/>
        <v>5/11</v>
      </c>
      <c r="N133" s="1" t="str">
        <f t="shared" si="5"/>
        <v>2/5</v>
      </c>
      <c r="O133" s="1" t="str">
        <f t="shared" si="5"/>
        <v>0/1</v>
      </c>
      <c r="P133" s="1" t="str">
        <f t="shared" si="5"/>
        <v>10/12</v>
      </c>
      <c r="Q133" s="1" t="str">
        <f t="shared" si="5"/>
        <v/>
      </c>
    </row>
    <row r="134" spans="1:17" x14ac:dyDescent="0.25">
      <c r="A134" s="1" t="s">
        <v>5</v>
      </c>
      <c r="B134" s="1" t="str">
        <f t="shared" si="5"/>
        <v>9/15</v>
      </c>
      <c r="C134" s="1" t="str">
        <f t="shared" si="5"/>
        <v>1/4</v>
      </c>
      <c r="D134" s="1" t="str">
        <f t="shared" si="5"/>
        <v>8/19</v>
      </c>
      <c r="E134" s="1" t="str">
        <f t="shared" si="5"/>
        <v>10/18</v>
      </c>
      <c r="F134" s="1" t="str">
        <f t="shared" si="5"/>
        <v>16/27</v>
      </c>
      <c r="G134" s="1" t="str">
        <f t="shared" si="5"/>
        <v>14/23</v>
      </c>
      <c r="H134" s="1" t="str">
        <f t="shared" si="5"/>
        <v/>
      </c>
      <c r="I134" s="1" t="str">
        <f t="shared" si="5"/>
        <v>5/12</v>
      </c>
      <c r="J134" s="1" t="str">
        <f t="shared" si="5"/>
        <v>8/16</v>
      </c>
      <c r="K134" s="1" t="str">
        <f t="shared" si="5"/>
        <v>6/14</v>
      </c>
      <c r="L134" s="1" t="str">
        <f t="shared" si="5"/>
        <v>4/7</v>
      </c>
      <c r="M134" s="1" t="str">
        <f t="shared" si="5"/>
        <v>4/11</v>
      </c>
      <c r="N134" s="1" t="str">
        <f t="shared" si="5"/>
        <v>1/4</v>
      </c>
      <c r="O134" s="1" t="str">
        <f t="shared" si="5"/>
        <v/>
      </c>
      <c r="P134" s="1" t="str">
        <f t="shared" si="5"/>
        <v>10/13</v>
      </c>
      <c r="Q134" s="1" t="str">
        <f t="shared" si="5"/>
        <v/>
      </c>
    </row>
    <row r="135" spans="1:17" x14ac:dyDescent="0.25">
      <c r="A135" s="1" t="s">
        <v>8</v>
      </c>
      <c r="B135" s="1" t="str">
        <f t="shared" si="5"/>
        <v>4/5</v>
      </c>
      <c r="C135" s="1" t="str">
        <f t="shared" si="5"/>
        <v>1/2</v>
      </c>
      <c r="D135" s="1" t="str">
        <f t="shared" si="5"/>
        <v>4/9</v>
      </c>
      <c r="E135" s="1" t="str">
        <f t="shared" si="5"/>
        <v>2/4</v>
      </c>
      <c r="F135" s="1" t="str">
        <f t="shared" si="5"/>
        <v>8/11</v>
      </c>
      <c r="G135" s="1" t="str">
        <f t="shared" si="5"/>
        <v>3/7</v>
      </c>
      <c r="H135" s="1" t="str">
        <f t="shared" si="5"/>
        <v>5/12</v>
      </c>
      <c r="I135" s="1" t="str">
        <f t="shared" si="5"/>
        <v/>
      </c>
      <c r="J135" s="1" t="str">
        <f t="shared" si="5"/>
        <v>6/16</v>
      </c>
      <c r="K135" s="1" t="str">
        <f t="shared" si="5"/>
        <v>4/9</v>
      </c>
      <c r="L135" s="1" t="str">
        <f t="shared" si="5"/>
        <v>2/4</v>
      </c>
      <c r="M135" s="1" t="str">
        <f t="shared" si="5"/>
        <v>0/6</v>
      </c>
      <c r="N135" s="1" t="str">
        <f t="shared" si="5"/>
        <v>5/13</v>
      </c>
      <c r="O135" s="1" t="str">
        <f t="shared" si="5"/>
        <v>3/5</v>
      </c>
      <c r="P135" s="1" t="str">
        <f t="shared" si="5"/>
        <v>5/5</v>
      </c>
      <c r="Q135" s="1" t="str">
        <f t="shared" si="5"/>
        <v>0/4</v>
      </c>
    </row>
    <row r="136" spans="1:17" x14ac:dyDescent="0.25">
      <c r="A136" s="1" t="s">
        <v>12</v>
      </c>
      <c r="B136" s="1" t="str">
        <f t="shared" si="5"/>
        <v>14/26</v>
      </c>
      <c r="C136" s="1" t="str">
        <f t="shared" si="5"/>
        <v>1/4</v>
      </c>
      <c r="D136" s="1" t="str">
        <f t="shared" si="5"/>
        <v>4/9</v>
      </c>
      <c r="E136" s="1" t="str">
        <f t="shared" si="5"/>
        <v>8/17</v>
      </c>
      <c r="F136" s="1" t="str">
        <f t="shared" si="5"/>
        <v>9/13</v>
      </c>
      <c r="G136" s="1" t="str">
        <f t="shared" si="5"/>
        <v>10/17</v>
      </c>
      <c r="H136" s="1" t="str">
        <f t="shared" si="5"/>
        <v>8/16</v>
      </c>
      <c r="I136" s="1" t="str">
        <f t="shared" si="5"/>
        <v>6/16</v>
      </c>
      <c r="J136" s="1" t="str">
        <f t="shared" si="5"/>
        <v/>
      </c>
      <c r="K136" s="1" t="str">
        <f t="shared" si="5"/>
        <v>3/9</v>
      </c>
      <c r="L136" s="1" t="str">
        <f t="shared" si="5"/>
        <v>8/14</v>
      </c>
      <c r="M136" s="1" t="str">
        <f t="shared" si="5"/>
        <v>5/10</v>
      </c>
      <c r="N136" s="1" t="str">
        <f t="shared" si="5"/>
        <v>1/7</v>
      </c>
      <c r="O136" s="1" t="str">
        <f t="shared" si="5"/>
        <v>0/2</v>
      </c>
      <c r="P136" s="1" t="str">
        <f t="shared" si="5"/>
        <v>12/18</v>
      </c>
      <c r="Q136" s="1" t="str">
        <f t="shared" si="5"/>
        <v>0/4</v>
      </c>
    </row>
    <row r="137" spans="1:17" x14ac:dyDescent="0.25">
      <c r="A137" s="2" t="s">
        <v>23</v>
      </c>
      <c r="B137" s="1" t="str">
        <f t="shared" si="5"/>
        <v>4/7</v>
      </c>
      <c r="C137" s="1" t="str">
        <f t="shared" si="5"/>
        <v>1/5</v>
      </c>
      <c r="D137" s="1" t="str">
        <f t="shared" si="5"/>
        <v>3/7</v>
      </c>
      <c r="E137" s="1" t="str">
        <f t="shared" si="5"/>
        <v>1/7</v>
      </c>
      <c r="F137" s="1" t="str">
        <f t="shared" si="5"/>
        <v>5/11</v>
      </c>
      <c r="G137" s="1" t="str">
        <f t="shared" si="5"/>
        <v>5/11</v>
      </c>
      <c r="H137" s="1" t="str">
        <f t="shared" si="5"/>
        <v>6/14</v>
      </c>
      <c r="I137" s="1" t="str">
        <f t="shared" si="5"/>
        <v>4/9</v>
      </c>
      <c r="J137" s="1" t="str">
        <f t="shared" si="5"/>
        <v>3/9</v>
      </c>
      <c r="K137" s="1" t="str">
        <f t="shared" si="5"/>
        <v/>
      </c>
      <c r="L137" s="1" t="str">
        <f t="shared" si="5"/>
        <v>4/6</v>
      </c>
      <c r="M137" s="1" t="str">
        <f t="shared" si="5"/>
        <v>1/7</v>
      </c>
      <c r="N137" s="1" t="str">
        <f t="shared" si="5"/>
        <v>2/3</v>
      </c>
      <c r="O137" s="1" t="str">
        <f t="shared" si="5"/>
        <v>2/2</v>
      </c>
      <c r="P137" s="1" t="str">
        <f t="shared" si="5"/>
        <v>2/3</v>
      </c>
      <c r="Q137" s="1" t="str">
        <f t="shared" si="5"/>
        <v>0/2</v>
      </c>
    </row>
    <row r="138" spans="1:17" x14ac:dyDescent="0.25">
      <c r="A138" s="2" t="s">
        <v>11</v>
      </c>
      <c r="B138" s="1" t="str">
        <f t="shared" si="5"/>
        <v>8/13</v>
      </c>
      <c r="C138" s="1" t="str">
        <f t="shared" si="5"/>
        <v>2/4</v>
      </c>
      <c r="D138" s="1" t="str">
        <f t="shared" si="5"/>
        <v>6/11</v>
      </c>
      <c r="E138" s="1" t="str">
        <f t="shared" si="5"/>
        <v>4/7</v>
      </c>
      <c r="F138" s="1" t="str">
        <f t="shared" si="5"/>
        <v>3/6</v>
      </c>
      <c r="G138" s="1" t="str">
        <f t="shared" si="5"/>
        <v>6/9</v>
      </c>
      <c r="H138" s="1" t="str">
        <f t="shared" si="5"/>
        <v>4/7</v>
      </c>
      <c r="I138" s="1" t="str">
        <f t="shared" si="5"/>
        <v>2/4</v>
      </c>
      <c r="J138" s="1" t="str">
        <f t="shared" si="5"/>
        <v>8/14</v>
      </c>
      <c r="K138" s="1" t="str">
        <f t="shared" si="5"/>
        <v>4/6</v>
      </c>
      <c r="L138" s="1" t="str">
        <f t="shared" si="5"/>
        <v/>
      </c>
      <c r="M138" s="1" t="str">
        <f t="shared" si="5"/>
        <v>1/4</v>
      </c>
      <c r="N138" s="1" t="str">
        <f t="shared" si="5"/>
        <v>1/2</v>
      </c>
      <c r="O138" s="1" t="str">
        <f t="shared" si="5"/>
        <v/>
      </c>
      <c r="P138" s="1" t="str">
        <f t="shared" si="5"/>
        <v>6/8</v>
      </c>
      <c r="Q138" s="1" t="str">
        <f t="shared" si="5"/>
        <v>0/2</v>
      </c>
    </row>
    <row r="139" spans="1:17" x14ac:dyDescent="0.25">
      <c r="A139" s="1" t="s">
        <v>9</v>
      </c>
      <c r="B139" s="1" t="str">
        <f t="shared" si="5"/>
        <v>1/5</v>
      </c>
      <c r="C139" s="1" t="str">
        <f t="shared" si="5"/>
        <v>0/2</v>
      </c>
      <c r="D139" s="1" t="str">
        <f t="shared" si="5"/>
        <v>1/6</v>
      </c>
      <c r="E139" s="1" t="str">
        <f t="shared" si="5"/>
        <v>4/8</v>
      </c>
      <c r="F139" s="1" t="str">
        <f t="shared" si="5"/>
        <v>5/14</v>
      </c>
      <c r="G139" s="1" t="str">
        <f t="shared" si="5"/>
        <v>5/11</v>
      </c>
      <c r="H139" s="1" t="str">
        <f t="shared" si="5"/>
        <v>4/11</v>
      </c>
      <c r="I139" s="1" t="str">
        <f t="shared" si="5"/>
        <v>0/6</v>
      </c>
      <c r="J139" s="1" t="str">
        <f t="shared" si="5"/>
        <v>5/10</v>
      </c>
      <c r="K139" s="1" t="str">
        <f t="shared" si="5"/>
        <v>1/7</v>
      </c>
      <c r="L139" s="1" t="str">
        <f t="shared" si="5"/>
        <v>1/4</v>
      </c>
      <c r="M139" s="1" t="str">
        <f t="shared" si="5"/>
        <v/>
      </c>
      <c r="N139" s="1" t="str">
        <f t="shared" si="5"/>
        <v>0/2</v>
      </c>
      <c r="O139" s="1" t="str">
        <f t="shared" si="5"/>
        <v/>
      </c>
      <c r="P139" s="1" t="str">
        <f t="shared" si="5"/>
        <v>4/6</v>
      </c>
      <c r="Q139" s="1" t="str">
        <f t="shared" si="5"/>
        <v>0/2</v>
      </c>
    </row>
    <row r="140" spans="1:17" x14ac:dyDescent="0.25">
      <c r="A140" s="1" t="s">
        <v>24</v>
      </c>
      <c r="B140" s="1" t="str">
        <f t="shared" si="5"/>
        <v>1/4</v>
      </c>
      <c r="C140" s="1" t="str">
        <f t="shared" si="5"/>
        <v/>
      </c>
      <c r="D140" s="1" t="str">
        <f t="shared" si="5"/>
        <v>1/7</v>
      </c>
      <c r="E140" s="1" t="str">
        <f t="shared" si="5"/>
        <v>3/7</v>
      </c>
      <c r="F140" s="1" t="str">
        <f t="shared" si="5"/>
        <v>4/7</v>
      </c>
      <c r="G140" s="1" t="str">
        <f t="shared" si="5"/>
        <v>2/5</v>
      </c>
      <c r="H140" s="1" t="str">
        <f t="shared" si="5"/>
        <v>1/4</v>
      </c>
      <c r="I140" s="1" t="str">
        <f t="shared" si="5"/>
        <v>5/13</v>
      </c>
      <c r="J140" s="1" t="str">
        <f t="shared" si="5"/>
        <v>1/7</v>
      </c>
      <c r="K140" s="1" t="str">
        <f t="shared" si="5"/>
        <v>2/3</v>
      </c>
      <c r="L140" s="1" t="str">
        <f t="shared" si="5"/>
        <v>1/2</v>
      </c>
      <c r="M140" s="1" t="str">
        <f t="shared" si="5"/>
        <v>0/2</v>
      </c>
      <c r="N140" s="1" t="str">
        <f t="shared" si="5"/>
        <v/>
      </c>
      <c r="O140" s="1" t="str">
        <f t="shared" si="5"/>
        <v>3/7</v>
      </c>
      <c r="P140" s="1" t="str">
        <f t="shared" si="5"/>
        <v>1/1</v>
      </c>
      <c r="Q140" s="1" t="str">
        <f t="shared" si="5"/>
        <v>0/1</v>
      </c>
    </row>
    <row r="141" spans="1:17" x14ac:dyDescent="0.25">
      <c r="A141" s="1" t="s">
        <v>26</v>
      </c>
      <c r="B141" s="1" t="str">
        <f t="shared" si="5"/>
        <v>0/2</v>
      </c>
      <c r="C141" s="1" t="str">
        <f t="shared" si="5"/>
        <v/>
      </c>
      <c r="D141" s="1" t="str">
        <f t="shared" si="5"/>
        <v>1/3</v>
      </c>
      <c r="E141" s="1" t="str">
        <f t="shared" si="5"/>
        <v/>
      </c>
      <c r="F141" s="1" t="str">
        <f t="shared" si="5"/>
        <v>2/2</v>
      </c>
      <c r="G141" s="1" t="str">
        <f t="shared" si="5"/>
        <v>0/1</v>
      </c>
      <c r="H141" s="1" t="str">
        <f t="shared" si="5"/>
        <v/>
      </c>
      <c r="I141" s="1" t="str">
        <f t="shared" si="5"/>
        <v>3/5</v>
      </c>
      <c r="J141" s="1" t="str">
        <f t="shared" si="5"/>
        <v>0/2</v>
      </c>
      <c r="K141" s="1" t="str">
        <f t="shared" si="5"/>
        <v>2/2</v>
      </c>
      <c r="L141" s="1" t="str">
        <f t="shared" si="5"/>
        <v/>
      </c>
      <c r="M141" s="1" t="str">
        <f t="shared" si="5"/>
        <v/>
      </c>
      <c r="N141" s="1" t="str">
        <f t="shared" si="5"/>
        <v>3/7</v>
      </c>
      <c r="O141" s="1" t="str">
        <f t="shared" si="5"/>
        <v/>
      </c>
      <c r="P141" s="1" t="str">
        <f t="shared" si="5"/>
        <v/>
      </c>
      <c r="Q141" s="1" t="str">
        <f t="shared" si="5"/>
        <v/>
      </c>
    </row>
    <row r="142" spans="1:17" x14ac:dyDescent="0.25">
      <c r="A142" s="1" t="s">
        <v>7</v>
      </c>
      <c r="B142" s="1" t="str">
        <f t="shared" si="5"/>
        <v>13/18</v>
      </c>
      <c r="C142" s="1" t="str">
        <f t="shared" si="5"/>
        <v>1/2</v>
      </c>
      <c r="D142" s="1" t="str">
        <f t="shared" si="5"/>
        <v>8/13</v>
      </c>
      <c r="E142" s="1" t="str">
        <f t="shared" si="5"/>
        <v>6/11</v>
      </c>
      <c r="F142" s="1" t="str">
        <f t="shared" si="5"/>
        <v>11/13</v>
      </c>
      <c r="G142" s="1" t="str">
        <f t="shared" si="5"/>
        <v>10/12</v>
      </c>
      <c r="H142" s="1" t="str">
        <f t="shared" si="5"/>
        <v>10/13</v>
      </c>
      <c r="I142" s="1" t="str">
        <f t="shared" si="5"/>
        <v>5/5</v>
      </c>
      <c r="J142" s="1" t="str">
        <f t="shared" si="5"/>
        <v>12/18</v>
      </c>
      <c r="K142" s="1" t="str">
        <f t="shared" si="5"/>
        <v>2/3</v>
      </c>
      <c r="L142" s="1" t="str">
        <f t="shared" si="5"/>
        <v>6/8</v>
      </c>
      <c r="M142" s="1" t="str">
        <f t="shared" si="5"/>
        <v>4/6</v>
      </c>
      <c r="N142" s="1" t="str">
        <f t="shared" si="5"/>
        <v>1/1</v>
      </c>
      <c r="O142" s="1" t="str">
        <f t="shared" si="5"/>
        <v/>
      </c>
      <c r="P142" s="1" t="str">
        <f t="shared" si="5"/>
        <v/>
      </c>
      <c r="Q142" s="1" t="str">
        <f t="shared" si="5"/>
        <v/>
      </c>
    </row>
    <row r="143" spans="1:17" x14ac:dyDescent="0.25">
      <c r="A143" s="1" t="s">
        <v>10</v>
      </c>
      <c r="B143" s="1" t="str">
        <f t="shared" si="5"/>
        <v>0/1</v>
      </c>
      <c r="C143" s="1" t="str">
        <f t="shared" si="5"/>
        <v/>
      </c>
      <c r="D143" s="1" t="str">
        <f t="shared" si="5"/>
        <v/>
      </c>
      <c r="E143" s="1" t="str">
        <f t="shared" si="5"/>
        <v/>
      </c>
      <c r="F143" s="1" t="str">
        <f t="shared" si="5"/>
        <v/>
      </c>
      <c r="G143" s="1" t="str">
        <f t="shared" si="5"/>
        <v/>
      </c>
      <c r="H143" s="1" t="str">
        <f t="shared" si="5"/>
        <v/>
      </c>
      <c r="I143" s="1" t="str">
        <f t="shared" si="5"/>
        <v>0/4</v>
      </c>
      <c r="J143" s="1" t="str">
        <f t="shared" si="5"/>
        <v>0/4</v>
      </c>
      <c r="K143" s="1" t="str">
        <f t="shared" si="5"/>
        <v>0/2</v>
      </c>
      <c r="L143" s="1" t="str">
        <f t="shared" si="5"/>
        <v>0/2</v>
      </c>
      <c r="M143" s="1" t="str">
        <f t="shared" si="5"/>
        <v>0/2</v>
      </c>
      <c r="N143" s="1" t="str">
        <f t="shared" si="5"/>
        <v>0/1</v>
      </c>
      <c r="O143" s="1" t="str">
        <f t="shared" si="5"/>
        <v/>
      </c>
      <c r="P143" s="1" t="str">
        <f t="shared" si="5"/>
        <v/>
      </c>
      <c r="Q143" s="1" t="str">
        <f t="shared" si="5"/>
        <v/>
      </c>
    </row>
    <row r="146" spans="1:17" x14ac:dyDescent="0.25">
      <c r="A146" s="3" t="s">
        <v>92</v>
      </c>
    </row>
    <row r="147" spans="1:17" x14ac:dyDescent="0.25">
      <c r="A147" t="s">
        <v>1</v>
      </c>
      <c r="B147" t="s">
        <v>14</v>
      </c>
      <c r="C147" t="s">
        <v>17</v>
      </c>
      <c r="D147" t="s">
        <v>21</v>
      </c>
      <c r="E147" t="s">
        <v>25</v>
      </c>
      <c r="F147" t="s">
        <v>13</v>
      </c>
      <c r="G147" t="s">
        <v>19</v>
      </c>
      <c r="H147" t="s">
        <v>20</v>
      </c>
      <c r="I147" t="s">
        <v>2</v>
      </c>
    </row>
    <row r="148" spans="1:17" s="9" customFormat="1" x14ac:dyDescent="0.25">
      <c r="A148" s="13" t="s">
        <v>90</v>
      </c>
      <c r="B148" s="13">
        <v>8</v>
      </c>
      <c r="C148" s="9">
        <v>8</v>
      </c>
      <c r="D148" s="9">
        <v>3</v>
      </c>
      <c r="E148" s="9">
        <v>5</v>
      </c>
      <c r="F148" s="9">
        <v>5</v>
      </c>
      <c r="G148" s="9">
        <v>6</v>
      </c>
      <c r="H148" s="9">
        <v>6</v>
      </c>
      <c r="I148" s="9">
        <v>8</v>
      </c>
    </row>
    <row r="149" spans="1:17" s="7" customFormat="1" x14ac:dyDescent="0.25">
      <c r="A149" s="9" t="s">
        <v>93</v>
      </c>
      <c r="B149" s="6">
        <v>0.16326530612244897</v>
      </c>
      <c r="C149" s="7">
        <v>0.16326530612244897</v>
      </c>
      <c r="D149" s="7">
        <v>6.1224489795918366E-2</v>
      </c>
      <c r="E149" s="7">
        <v>0.10204081632653061</v>
      </c>
      <c r="F149" s="7">
        <v>0.10204081632653061</v>
      </c>
      <c r="G149" s="7">
        <v>0.12244897959183673</v>
      </c>
      <c r="H149" s="7">
        <v>0.12244897959183673</v>
      </c>
      <c r="I149" s="7">
        <v>0.16326530612244897</v>
      </c>
    </row>
    <row r="150" spans="1:17" x14ac:dyDescent="0.25">
      <c r="A150"/>
      <c r="B150"/>
      <c r="C150" s="7"/>
    </row>
    <row r="151" spans="1:17" x14ac:dyDescent="0.25">
      <c r="A151"/>
      <c r="B151"/>
      <c r="C151" s="7"/>
    </row>
    <row r="152" spans="1:17" x14ac:dyDescent="0.25">
      <c r="A152"/>
      <c r="B152"/>
      <c r="C152" s="7"/>
    </row>
    <row r="153" spans="1:17" x14ac:dyDescent="0.25">
      <c r="A153"/>
      <c r="B153"/>
      <c r="C153" s="7"/>
    </row>
    <row r="154" spans="1:17" x14ac:dyDescent="0.25">
      <c r="A154"/>
      <c r="B154"/>
      <c r="C154" s="7"/>
    </row>
    <row r="155" spans="1:17" x14ac:dyDescent="0.25">
      <c r="A155"/>
      <c r="B155"/>
      <c r="C155" s="7"/>
    </row>
    <row r="156" spans="1:17" x14ac:dyDescent="0.25">
      <c r="A156"/>
      <c r="B156"/>
      <c r="C156" s="7"/>
    </row>
    <row r="158" spans="1:17" x14ac:dyDescent="0.25">
      <c r="A158" s="4" t="s">
        <v>136</v>
      </c>
    </row>
    <row r="159" spans="1:17" x14ac:dyDescent="0.25">
      <c r="A159" s="4"/>
      <c r="B159" s="34" t="s">
        <v>94</v>
      </c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</row>
    <row r="160" spans="1:17" x14ac:dyDescent="0.25">
      <c r="B160" s="1" t="s">
        <v>3</v>
      </c>
      <c r="C160" s="1" t="s">
        <v>18</v>
      </c>
      <c r="D160" s="1" t="s">
        <v>16</v>
      </c>
      <c r="E160" s="1" t="s">
        <v>22</v>
      </c>
      <c r="F160" s="1" t="s">
        <v>4</v>
      </c>
      <c r="G160" s="1" t="s">
        <v>6</v>
      </c>
      <c r="H160" s="1" t="s">
        <v>5</v>
      </c>
      <c r="I160" s="1" t="s">
        <v>8</v>
      </c>
      <c r="J160" s="1" t="s">
        <v>12</v>
      </c>
      <c r="K160" s="2" t="s">
        <v>23</v>
      </c>
      <c r="L160" s="2" t="s">
        <v>11</v>
      </c>
      <c r="M160" s="1" t="s">
        <v>9</v>
      </c>
      <c r="N160" s="1" t="s">
        <v>24</v>
      </c>
      <c r="O160" s="1" t="s">
        <v>26</v>
      </c>
      <c r="P160" s="1" t="s">
        <v>7</v>
      </c>
      <c r="Q160" s="1" t="s">
        <v>10</v>
      </c>
    </row>
    <row r="161" spans="1:17" x14ac:dyDescent="0.25">
      <c r="A161" s="1" t="s">
        <v>3</v>
      </c>
      <c r="B161" s="1">
        <v>0</v>
      </c>
      <c r="C161" s="1">
        <v>0</v>
      </c>
      <c r="D161" s="1">
        <v>7</v>
      </c>
      <c r="E161" s="1">
        <v>8</v>
      </c>
      <c r="F161" s="1">
        <v>12</v>
      </c>
      <c r="G161" s="1">
        <v>10</v>
      </c>
      <c r="H161" s="1">
        <v>11</v>
      </c>
      <c r="I161" s="1">
        <v>9</v>
      </c>
      <c r="J161" s="1">
        <v>6</v>
      </c>
      <c r="K161" s="1">
        <v>5</v>
      </c>
      <c r="L161" s="1">
        <v>4</v>
      </c>
      <c r="M161" s="1">
        <v>5</v>
      </c>
      <c r="N161" s="1">
        <v>6</v>
      </c>
      <c r="O161" s="1">
        <v>3</v>
      </c>
      <c r="P161" s="1">
        <v>5</v>
      </c>
      <c r="Q161" s="1">
        <v>0</v>
      </c>
    </row>
    <row r="162" spans="1:17" x14ac:dyDescent="0.25">
      <c r="A162" s="1" t="s">
        <v>18</v>
      </c>
      <c r="B162" s="1">
        <v>4</v>
      </c>
      <c r="C162" s="1">
        <v>0</v>
      </c>
      <c r="D162" s="1">
        <v>5</v>
      </c>
      <c r="E162" s="1">
        <v>0</v>
      </c>
      <c r="F162" s="1">
        <v>5</v>
      </c>
      <c r="G162" s="1">
        <v>2</v>
      </c>
      <c r="H162" s="1">
        <v>3</v>
      </c>
      <c r="I162" s="1">
        <v>2</v>
      </c>
      <c r="J162" s="1">
        <v>3</v>
      </c>
      <c r="K162" s="1">
        <v>2</v>
      </c>
      <c r="L162" s="1">
        <v>1</v>
      </c>
      <c r="M162" s="1">
        <v>0</v>
      </c>
      <c r="N162" s="1">
        <v>0</v>
      </c>
      <c r="O162" s="1">
        <v>0</v>
      </c>
      <c r="P162" s="1">
        <v>2</v>
      </c>
      <c r="Q162" s="1">
        <v>0</v>
      </c>
    </row>
    <row r="163" spans="1:17" x14ac:dyDescent="0.25">
      <c r="A163" s="1" t="s">
        <v>16</v>
      </c>
      <c r="B163" s="1">
        <v>8</v>
      </c>
      <c r="C163" s="1">
        <v>2</v>
      </c>
      <c r="D163" s="1">
        <v>0</v>
      </c>
      <c r="E163" s="1">
        <v>10</v>
      </c>
      <c r="F163" s="1">
        <v>11</v>
      </c>
      <c r="G163" s="1">
        <v>12</v>
      </c>
      <c r="H163" s="1">
        <v>9</v>
      </c>
      <c r="I163" s="1">
        <v>6</v>
      </c>
      <c r="J163" s="1">
        <v>16</v>
      </c>
      <c r="K163" s="1">
        <v>6</v>
      </c>
      <c r="L163" s="1">
        <v>5</v>
      </c>
      <c r="M163" s="1">
        <v>6</v>
      </c>
      <c r="N163" s="1">
        <v>3</v>
      </c>
      <c r="O163" s="1">
        <v>2</v>
      </c>
      <c r="P163" s="1">
        <v>7</v>
      </c>
      <c r="Q163" s="1">
        <v>0</v>
      </c>
    </row>
    <row r="164" spans="1:17" x14ac:dyDescent="0.25">
      <c r="A164" s="1" t="s">
        <v>22</v>
      </c>
      <c r="B164" s="1">
        <v>10</v>
      </c>
      <c r="C164" s="1">
        <v>2</v>
      </c>
      <c r="D164" s="1">
        <v>7</v>
      </c>
      <c r="E164" s="1">
        <v>0</v>
      </c>
      <c r="F164" s="1">
        <v>11</v>
      </c>
      <c r="G164" s="1">
        <v>8</v>
      </c>
      <c r="H164" s="1">
        <v>10</v>
      </c>
      <c r="I164" s="1">
        <v>7</v>
      </c>
      <c r="J164" s="1">
        <v>10</v>
      </c>
      <c r="K164" s="1">
        <v>7</v>
      </c>
      <c r="L164" s="1">
        <v>6</v>
      </c>
      <c r="M164" s="1">
        <v>4</v>
      </c>
      <c r="N164" s="1">
        <v>2</v>
      </c>
      <c r="O164" s="1">
        <v>1</v>
      </c>
      <c r="P164" s="1">
        <v>8</v>
      </c>
      <c r="Q164" s="1">
        <v>0</v>
      </c>
    </row>
    <row r="165" spans="1:17" x14ac:dyDescent="0.25">
      <c r="A165" s="1" t="s">
        <v>4</v>
      </c>
      <c r="B165" s="1">
        <v>11</v>
      </c>
      <c r="C165" s="1">
        <v>2</v>
      </c>
      <c r="D165" s="1">
        <v>5</v>
      </c>
      <c r="E165" s="1">
        <v>4</v>
      </c>
      <c r="F165" s="1">
        <v>0</v>
      </c>
      <c r="G165" s="1">
        <v>10</v>
      </c>
      <c r="H165" s="1">
        <v>8</v>
      </c>
      <c r="I165" s="1">
        <v>6</v>
      </c>
      <c r="J165" s="1">
        <v>13</v>
      </c>
      <c r="K165" s="1">
        <v>6</v>
      </c>
      <c r="L165" s="1">
        <v>9</v>
      </c>
      <c r="M165" s="1">
        <v>3</v>
      </c>
      <c r="N165" s="1">
        <v>2</v>
      </c>
      <c r="O165" s="1">
        <v>1</v>
      </c>
      <c r="P165" s="1">
        <v>12</v>
      </c>
      <c r="Q165" s="1">
        <v>0</v>
      </c>
    </row>
    <row r="166" spans="1:17" x14ac:dyDescent="0.25">
      <c r="A166" s="1" t="s">
        <v>6</v>
      </c>
      <c r="B166" s="1">
        <v>8</v>
      </c>
      <c r="C166" s="1">
        <v>2</v>
      </c>
      <c r="D166" s="1">
        <v>9</v>
      </c>
      <c r="E166" s="1">
        <v>6</v>
      </c>
      <c r="F166" s="1">
        <v>10</v>
      </c>
      <c r="G166" s="1">
        <v>0</v>
      </c>
      <c r="H166" s="1">
        <v>6</v>
      </c>
      <c r="I166" s="1">
        <v>4</v>
      </c>
      <c r="J166" s="1">
        <v>9</v>
      </c>
      <c r="K166" s="1">
        <v>3</v>
      </c>
      <c r="L166" s="1">
        <v>7</v>
      </c>
      <c r="M166" s="1">
        <v>3</v>
      </c>
      <c r="N166" s="1">
        <v>3</v>
      </c>
      <c r="O166" s="1">
        <v>1</v>
      </c>
      <c r="P166" s="1">
        <v>10</v>
      </c>
      <c r="Q166" s="1">
        <v>0</v>
      </c>
    </row>
    <row r="167" spans="1:17" x14ac:dyDescent="0.25">
      <c r="A167" s="1" t="s">
        <v>5</v>
      </c>
      <c r="B167" s="1">
        <v>15</v>
      </c>
      <c r="C167" s="1">
        <v>2</v>
      </c>
      <c r="D167" s="1">
        <v>7</v>
      </c>
      <c r="E167" s="1">
        <v>7</v>
      </c>
      <c r="F167" s="1">
        <v>10</v>
      </c>
      <c r="G167" s="1">
        <v>9</v>
      </c>
      <c r="H167" s="1">
        <v>0</v>
      </c>
      <c r="I167" s="1">
        <v>8</v>
      </c>
      <c r="J167" s="1">
        <v>14</v>
      </c>
      <c r="K167" s="1">
        <v>5</v>
      </c>
      <c r="L167" s="1">
        <v>10</v>
      </c>
      <c r="M167" s="1">
        <v>3</v>
      </c>
      <c r="N167" s="1">
        <v>5</v>
      </c>
      <c r="O167" s="1">
        <v>2</v>
      </c>
      <c r="P167" s="1">
        <v>13</v>
      </c>
      <c r="Q167" s="1">
        <v>0</v>
      </c>
    </row>
    <row r="168" spans="1:17" x14ac:dyDescent="0.25">
      <c r="A168" s="1" t="s">
        <v>8</v>
      </c>
      <c r="B168" s="1">
        <v>12</v>
      </c>
      <c r="C168" s="1">
        <v>1</v>
      </c>
      <c r="D168" s="1">
        <v>4</v>
      </c>
      <c r="E168" s="1">
        <v>9</v>
      </c>
      <c r="F168" s="1">
        <v>12</v>
      </c>
      <c r="G168" s="1">
        <v>10</v>
      </c>
      <c r="H168" s="1">
        <v>9</v>
      </c>
      <c r="I168" s="1">
        <v>0</v>
      </c>
      <c r="J168" s="1">
        <v>5</v>
      </c>
      <c r="K168" s="1">
        <v>1</v>
      </c>
      <c r="L168" s="1">
        <v>2</v>
      </c>
      <c r="M168" s="1">
        <v>2</v>
      </c>
      <c r="N168" s="1">
        <v>2</v>
      </c>
      <c r="O168" s="1">
        <v>0</v>
      </c>
      <c r="P168" s="1">
        <v>10</v>
      </c>
      <c r="Q168" s="1">
        <v>0</v>
      </c>
    </row>
    <row r="169" spans="1:17" x14ac:dyDescent="0.25">
      <c r="A169" s="1" t="s">
        <v>12</v>
      </c>
      <c r="B169" s="1">
        <v>9</v>
      </c>
      <c r="C169" s="1">
        <v>1</v>
      </c>
      <c r="D169" s="1">
        <v>10</v>
      </c>
      <c r="E169" s="1">
        <v>10</v>
      </c>
      <c r="F169" s="1">
        <v>19</v>
      </c>
      <c r="G169" s="1">
        <v>12</v>
      </c>
      <c r="H169" s="1">
        <v>15</v>
      </c>
      <c r="I169" s="1">
        <v>7</v>
      </c>
      <c r="J169" s="1">
        <v>0</v>
      </c>
      <c r="K169" s="1">
        <v>8</v>
      </c>
      <c r="L169" s="1">
        <v>4</v>
      </c>
      <c r="M169" s="1">
        <v>3</v>
      </c>
      <c r="N169" s="1">
        <v>6</v>
      </c>
      <c r="O169" s="1">
        <v>3</v>
      </c>
      <c r="P169" s="1">
        <v>9</v>
      </c>
      <c r="Q169" s="1">
        <v>0</v>
      </c>
    </row>
    <row r="170" spans="1:17" x14ac:dyDescent="0.25">
      <c r="A170" s="2" t="s">
        <v>23</v>
      </c>
      <c r="B170" s="1">
        <v>9</v>
      </c>
      <c r="C170" s="1">
        <v>1</v>
      </c>
      <c r="D170" s="1">
        <v>6</v>
      </c>
      <c r="E170" s="1">
        <v>5</v>
      </c>
      <c r="F170" s="1">
        <v>9</v>
      </c>
      <c r="G170" s="1">
        <v>5</v>
      </c>
      <c r="H170" s="1">
        <v>7</v>
      </c>
      <c r="I170" s="1">
        <v>4</v>
      </c>
      <c r="J170" s="1">
        <v>9</v>
      </c>
      <c r="K170" s="1">
        <v>0</v>
      </c>
      <c r="L170" s="1">
        <v>4</v>
      </c>
      <c r="M170" s="1">
        <v>3</v>
      </c>
      <c r="N170" s="1">
        <v>1</v>
      </c>
      <c r="O170" s="1">
        <v>0</v>
      </c>
      <c r="P170" s="1">
        <v>10</v>
      </c>
      <c r="Q170" s="1">
        <v>0</v>
      </c>
    </row>
    <row r="171" spans="1:17" x14ac:dyDescent="0.25">
      <c r="A171" s="2" t="s">
        <v>11</v>
      </c>
      <c r="B171" s="1">
        <v>5</v>
      </c>
      <c r="C171" s="1">
        <v>0</v>
      </c>
      <c r="D171" s="1">
        <v>4</v>
      </c>
      <c r="E171" s="1">
        <v>4</v>
      </c>
      <c r="F171" s="1">
        <v>8</v>
      </c>
      <c r="G171" s="1">
        <v>7</v>
      </c>
      <c r="H171" s="1">
        <v>8</v>
      </c>
      <c r="I171" s="1">
        <v>2</v>
      </c>
      <c r="J171" s="1">
        <v>4</v>
      </c>
      <c r="K171" s="1">
        <v>3</v>
      </c>
      <c r="L171" s="1">
        <v>0</v>
      </c>
      <c r="M171" s="1">
        <v>2</v>
      </c>
      <c r="N171" s="1">
        <v>1</v>
      </c>
      <c r="O171" s="1">
        <v>1</v>
      </c>
      <c r="P171" s="1">
        <v>5</v>
      </c>
      <c r="Q171" s="1">
        <v>0</v>
      </c>
    </row>
    <row r="172" spans="1:17" x14ac:dyDescent="0.25">
      <c r="A172" s="1" t="s">
        <v>9</v>
      </c>
      <c r="B172" s="1">
        <v>9</v>
      </c>
      <c r="C172" s="1">
        <v>0</v>
      </c>
      <c r="D172" s="1">
        <v>6</v>
      </c>
      <c r="E172" s="1">
        <v>3</v>
      </c>
      <c r="F172" s="1">
        <v>7</v>
      </c>
      <c r="G172" s="1">
        <v>7</v>
      </c>
      <c r="H172" s="1">
        <v>8</v>
      </c>
      <c r="I172" s="1">
        <v>6</v>
      </c>
      <c r="J172" s="1">
        <v>10</v>
      </c>
      <c r="K172" s="1">
        <v>3</v>
      </c>
      <c r="L172" s="1">
        <v>5</v>
      </c>
      <c r="M172" s="1">
        <v>0</v>
      </c>
      <c r="N172" s="1">
        <v>1</v>
      </c>
      <c r="O172" s="1">
        <v>1</v>
      </c>
      <c r="P172" s="1">
        <v>12</v>
      </c>
      <c r="Q172" s="1">
        <v>0</v>
      </c>
    </row>
    <row r="173" spans="1:17" x14ac:dyDescent="0.25">
      <c r="A173" s="1" t="s">
        <v>24</v>
      </c>
      <c r="B173" s="1">
        <v>8</v>
      </c>
      <c r="C173" s="1">
        <v>0</v>
      </c>
      <c r="D173" s="1">
        <v>3</v>
      </c>
      <c r="E173" s="1">
        <v>7</v>
      </c>
      <c r="F173" s="1">
        <v>9</v>
      </c>
      <c r="G173" s="1">
        <v>7</v>
      </c>
      <c r="H173" s="1">
        <v>8</v>
      </c>
      <c r="I173" s="1">
        <v>1</v>
      </c>
      <c r="J173" s="1">
        <v>6</v>
      </c>
      <c r="K173" s="1">
        <v>1</v>
      </c>
      <c r="L173" s="1">
        <v>0</v>
      </c>
      <c r="M173" s="1">
        <v>3</v>
      </c>
      <c r="N173" s="1">
        <v>0</v>
      </c>
      <c r="O173" s="1">
        <v>0</v>
      </c>
      <c r="P173" s="1">
        <v>6</v>
      </c>
      <c r="Q173" s="1">
        <v>0</v>
      </c>
    </row>
    <row r="174" spans="1:17" x14ac:dyDescent="0.25">
      <c r="A174" s="1" t="s">
        <v>26</v>
      </c>
      <c r="B174" s="1">
        <v>1</v>
      </c>
      <c r="C174" s="1">
        <v>0</v>
      </c>
      <c r="D174" s="1">
        <v>1</v>
      </c>
      <c r="E174" s="1">
        <v>4</v>
      </c>
      <c r="F174" s="1">
        <v>4</v>
      </c>
      <c r="G174" s="1">
        <v>1</v>
      </c>
      <c r="H174" s="1">
        <v>3</v>
      </c>
      <c r="I174" s="1">
        <v>1</v>
      </c>
      <c r="J174" s="1">
        <v>2</v>
      </c>
      <c r="K174" s="1">
        <v>0</v>
      </c>
      <c r="L174" s="1">
        <v>0</v>
      </c>
      <c r="M174" s="1">
        <v>1</v>
      </c>
      <c r="N174" s="1">
        <v>0</v>
      </c>
      <c r="O174" s="1">
        <v>0</v>
      </c>
      <c r="P174" s="1">
        <v>1</v>
      </c>
      <c r="Q174" s="1">
        <v>0</v>
      </c>
    </row>
    <row r="175" spans="1:17" x14ac:dyDescent="0.25">
      <c r="A175" s="1" t="s">
        <v>7</v>
      </c>
      <c r="B175" s="1">
        <v>3</v>
      </c>
      <c r="C175" s="1">
        <v>1</v>
      </c>
      <c r="D175" s="1">
        <v>3</v>
      </c>
      <c r="E175" s="1">
        <v>3</v>
      </c>
      <c r="F175" s="1">
        <v>6</v>
      </c>
      <c r="G175" s="1">
        <v>5</v>
      </c>
      <c r="H175" s="1">
        <v>6</v>
      </c>
      <c r="I175" s="1">
        <v>4</v>
      </c>
      <c r="J175" s="1">
        <v>3</v>
      </c>
      <c r="K175" s="1">
        <v>5</v>
      </c>
      <c r="L175" s="1">
        <v>4</v>
      </c>
      <c r="M175" s="1">
        <v>1</v>
      </c>
      <c r="N175" s="1">
        <v>0</v>
      </c>
      <c r="O175" s="1">
        <v>0</v>
      </c>
      <c r="P175" s="1">
        <v>0</v>
      </c>
      <c r="Q175" s="1">
        <v>0</v>
      </c>
    </row>
    <row r="176" spans="1:17" x14ac:dyDescent="0.25">
      <c r="A176" s="1" t="s">
        <v>10</v>
      </c>
      <c r="B176" s="1">
        <v>3</v>
      </c>
      <c r="C176" s="1">
        <v>0</v>
      </c>
      <c r="D176" s="1">
        <v>0</v>
      </c>
      <c r="E176" s="1">
        <v>2</v>
      </c>
      <c r="F176" s="1">
        <v>4</v>
      </c>
      <c r="G176" s="1">
        <v>4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1</v>
      </c>
      <c r="O176" s="1">
        <v>0</v>
      </c>
      <c r="P176" s="1">
        <v>2</v>
      </c>
      <c r="Q176" s="1">
        <v>0</v>
      </c>
    </row>
    <row r="179" spans="1:17" x14ac:dyDescent="0.25">
      <c r="A179" s="3" t="s">
        <v>137</v>
      </c>
    </row>
    <row r="180" spans="1:17" x14ac:dyDescent="0.25">
      <c r="B180" s="1" t="s">
        <v>3</v>
      </c>
      <c r="C180" s="1" t="s">
        <v>18</v>
      </c>
      <c r="D180" s="1" t="s">
        <v>16</v>
      </c>
      <c r="E180" s="1" t="s">
        <v>22</v>
      </c>
      <c r="F180" s="1" t="s">
        <v>4</v>
      </c>
      <c r="G180" s="1" t="s">
        <v>6</v>
      </c>
      <c r="H180" s="1" t="s">
        <v>5</v>
      </c>
      <c r="I180" s="1" t="s">
        <v>8</v>
      </c>
      <c r="J180" s="1" t="s">
        <v>12</v>
      </c>
      <c r="K180" s="2" t="s">
        <v>23</v>
      </c>
      <c r="L180" s="2" t="s">
        <v>11</v>
      </c>
      <c r="M180" s="1" t="s">
        <v>9</v>
      </c>
      <c r="N180" s="1" t="s">
        <v>24</v>
      </c>
      <c r="O180" s="1" t="s">
        <v>26</v>
      </c>
      <c r="P180" s="1" t="s">
        <v>7</v>
      </c>
      <c r="Q180" s="1" t="s">
        <v>10</v>
      </c>
    </row>
    <row r="181" spans="1:17" x14ac:dyDescent="0.25">
      <c r="A181" s="1" t="s">
        <v>3</v>
      </c>
      <c r="B181" s="1">
        <v>0</v>
      </c>
      <c r="C181" s="1">
        <v>4</v>
      </c>
      <c r="D181" s="1">
        <v>15</v>
      </c>
      <c r="E181" s="1">
        <v>18</v>
      </c>
      <c r="F181" s="1">
        <v>23</v>
      </c>
      <c r="G181" s="1">
        <v>18</v>
      </c>
      <c r="H181" s="1">
        <v>26</v>
      </c>
      <c r="I181" s="1">
        <v>21</v>
      </c>
      <c r="J181" s="1">
        <v>15</v>
      </c>
      <c r="K181" s="1">
        <v>14</v>
      </c>
      <c r="L181" s="1">
        <v>9</v>
      </c>
      <c r="M181" s="1">
        <v>14</v>
      </c>
      <c r="N181" s="1">
        <v>14</v>
      </c>
      <c r="O181" s="1">
        <v>4</v>
      </c>
      <c r="P181" s="1">
        <v>8</v>
      </c>
      <c r="Q181" s="1">
        <v>3</v>
      </c>
    </row>
    <row r="182" spans="1:17" x14ac:dyDescent="0.25">
      <c r="A182" s="1" t="s">
        <v>18</v>
      </c>
      <c r="B182" s="1">
        <v>4</v>
      </c>
      <c r="C182" s="1">
        <v>0</v>
      </c>
      <c r="D182" s="1">
        <v>7</v>
      </c>
      <c r="E182" s="1">
        <v>2</v>
      </c>
      <c r="F182" s="1">
        <v>7</v>
      </c>
      <c r="G182" s="1">
        <v>4</v>
      </c>
      <c r="H182" s="1">
        <v>5</v>
      </c>
      <c r="I182" s="1">
        <v>3</v>
      </c>
      <c r="J182" s="1">
        <v>4</v>
      </c>
      <c r="K182" s="1">
        <v>3</v>
      </c>
      <c r="L182" s="1">
        <v>1</v>
      </c>
      <c r="M182" s="1">
        <v>0</v>
      </c>
      <c r="N182" s="1">
        <v>0</v>
      </c>
      <c r="O182" s="1">
        <v>0</v>
      </c>
      <c r="P182" s="1">
        <v>3</v>
      </c>
      <c r="Q182" s="1">
        <v>0</v>
      </c>
    </row>
    <row r="183" spans="1:17" x14ac:dyDescent="0.25">
      <c r="A183" s="1" t="s">
        <v>16</v>
      </c>
      <c r="B183" s="1">
        <v>15</v>
      </c>
      <c r="C183" s="1">
        <v>7</v>
      </c>
      <c r="D183" s="1">
        <v>0</v>
      </c>
      <c r="E183" s="1">
        <v>17</v>
      </c>
      <c r="F183" s="1">
        <v>16</v>
      </c>
      <c r="G183" s="1">
        <v>21</v>
      </c>
      <c r="H183" s="1">
        <v>16</v>
      </c>
      <c r="I183" s="1">
        <v>10</v>
      </c>
      <c r="J183" s="1">
        <v>26</v>
      </c>
      <c r="K183" s="1">
        <v>12</v>
      </c>
      <c r="L183" s="1">
        <v>9</v>
      </c>
      <c r="M183" s="1">
        <v>12</v>
      </c>
      <c r="N183" s="1">
        <v>6</v>
      </c>
      <c r="O183" s="1">
        <v>3</v>
      </c>
      <c r="P183" s="1">
        <v>10</v>
      </c>
      <c r="Q183" s="1">
        <v>0</v>
      </c>
    </row>
    <row r="184" spans="1:17" x14ac:dyDescent="0.25">
      <c r="A184" s="1" t="s">
        <v>22</v>
      </c>
      <c r="B184" s="1">
        <v>18</v>
      </c>
      <c r="C184" s="1">
        <v>2</v>
      </c>
      <c r="D184" s="1">
        <v>17</v>
      </c>
      <c r="E184" s="1">
        <v>0</v>
      </c>
      <c r="F184" s="1">
        <v>15</v>
      </c>
      <c r="G184" s="1">
        <v>14</v>
      </c>
      <c r="H184" s="1">
        <v>17</v>
      </c>
      <c r="I184" s="1">
        <v>16</v>
      </c>
      <c r="J184" s="1">
        <v>20</v>
      </c>
      <c r="K184" s="1">
        <v>12</v>
      </c>
      <c r="L184" s="1">
        <v>10</v>
      </c>
      <c r="M184" s="1">
        <v>7</v>
      </c>
      <c r="N184" s="1">
        <v>9</v>
      </c>
      <c r="O184" s="1">
        <v>5</v>
      </c>
      <c r="P184" s="1">
        <v>11</v>
      </c>
      <c r="Q184" s="1">
        <v>2</v>
      </c>
    </row>
    <row r="185" spans="1:17" x14ac:dyDescent="0.25">
      <c r="A185" s="1" t="s">
        <v>4</v>
      </c>
      <c r="B185" s="1">
        <v>23</v>
      </c>
      <c r="C185" s="1">
        <v>7</v>
      </c>
      <c r="D185" s="1">
        <v>16</v>
      </c>
      <c r="E185" s="1">
        <v>15</v>
      </c>
      <c r="F185" s="1">
        <v>0</v>
      </c>
      <c r="G185" s="1">
        <v>20</v>
      </c>
      <c r="H185" s="1">
        <v>18</v>
      </c>
      <c r="I185" s="1">
        <v>18</v>
      </c>
      <c r="J185" s="1">
        <v>32</v>
      </c>
      <c r="K185" s="1">
        <v>15</v>
      </c>
      <c r="L185" s="1">
        <v>17</v>
      </c>
      <c r="M185" s="1">
        <v>10</v>
      </c>
      <c r="N185" s="1">
        <v>11</v>
      </c>
      <c r="O185" s="1">
        <v>5</v>
      </c>
      <c r="P185" s="1">
        <v>18</v>
      </c>
      <c r="Q185" s="1">
        <v>4</v>
      </c>
    </row>
    <row r="186" spans="1:17" x14ac:dyDescent="0.25">
      <c r="A186" s="1" t="s">
        <v>6</v>
      </c>
      <c r="B186" s="1">
        <v>18</v>
      </c>
      <c r="C186" s="1">
        <v>4</v>
      </c>
      <c r="D186" s="1">
        <v>21</v>
      </c>
      <c r="E186" s="1">
        <v>14</v>
      </c>
      <c r="F186" s="1">
        <v>20</v>
      </c>
      <c r="G186" s="1">
        <v>0</v>
      </c>
      <c r="H186" s="1">
        <v>15</v>
      </c>
      <c r="I186" s="1">
        <v>14</v>
      </c>
      <c r="J186" s="1">
        <v>21</v>
      </c>
      <c r="K186" s="1">
        <v>8</v>
      </c>
      <c r="L186" s="1">
        <v>14</v>
      </c>
      <c r="M186" s="1">
        <v>10</v>
      </c>
      <c r="N186" s="1">
        <v>10</v>
      </c>
      <c r="O186" s="1">
        <v>2</v>
      </c>
      <c r="P186" s="1">
        <v>15</v>
      </c>
      <c r="Q186" s="1">
        <v>4</v>
      </c>
    </row>
    <row r="187" spans="1:17" x14ac:dyDescent="0.25">
      <c r="A187" s="1" t="s">
        <v>5</v>
      </c>
      <c r="B187" s="1">
        <v>26</v>
      </c>
      <c r="C187" s="1">
        <v>5</v>
      </c>
      <c r="D187" s="1">
        <v>16</v>
      </c>
      <c r="E187" s="1">
        <v>17</v>
      </c>
      <c r="F187" s="1">
        <v>18</v>
      </c>
      <c r="G187" s="1">
        <v>15</v>
      </c>
      <c r="H187" s="1">
        <v>0</v>
      </c>
      <c r="I187" s="1">
        <v>17</v>
      </c>
      <c r="J187" s="1">
        <v>29</v>
      </c>
      <c r="K187" s="1">
        <v>12</v>
      </c>
      <c r="L187" s="1">
        <v>18</v>
      </c>
      <c r="M187" s="1">
        <v>11</v>
      </c>
      <c r="N187" s="1">
        <v>13</v>
      </c>
      <c r="O187" s="1">
        <v>5</v>
      </c>
      <c r="P187" s="1">
        <v>19</v>
      </c>
      <c r="Q187" s="1">
        <v>4</v>
      </c>
    </row>
    <row r="188" spans="1:17" x14ac:dyDescent="0.25">
      <c r="A188" s="1" t="s">
        <v>8</v>
      </c>
      <c r="B188" s="1">
        <v>21</v>
      </c>
      <c r="C188" s="1">
        <v>3</v>
      </c>
      <c r="D188" s="1">
        <v>10</v>
      </c>
      <c r="E188" s="1">
        <v>16</v>
      </c>
      <c r="F188" s="1">
        <v>18</v>
      </c>
      <c r="G188" s="1">
        <v>14</v>
      </c>
      <c r="H188" s="1">
        <v>17</v>
      </c>
      <c r="I188" s="1">
        <v>0</v>
      </c>
      <c r="J188" s="1">
        <v>12</v>
      </c>
      <c r="K188" s="1">
        <v>5</v>
      </c>
      <c r="L188" s="1">
        <v>4</v>
      </c>
      <c r="M188" s="1">
        <v>8</v>
      </c>
      <c r="N188" s="1">
        <v>3</v>
      </c>
      <c r="O188" s="1">
        <v>1</v>
      </c>
      <c r="P188" s="1">
        <v>14</v>
      </c>
      <c r="Q188" s="1">
        <v>0</v>
      </c>
    </row>
    <row r="189" spans="1:17" x14ac:dyDescent="0.25">
      <c r="A189" s="1" t="s">
        <v>12</v>
      </c>
      <c r="B189" s="1">
        <v>15</v>
      </c>
      <c r="C189" s="1">
        <v>4</v>
      </c>
      <c r="D189" s="1">
        <v>26</v>
      </c>
      <c r="E189" s="1">
        <v>20</v>
      </c>
      <c r="F189" s="1">
        <v>32</v>
      </c>
      <c r="G189" s="1">
        <v>21</v>
      </c>
      <c r="H189" s="1">
        <v>29</v>
      </c>
      <c r="I189" s="1">
        <v>12</v>
      </c>
      <c r="J189" s="1">
        <v>0</v>
      </c>
      <c r="K189" s="1">
        <v>17</v>
      </c>
      <c r="L189" s="1">
        <v>8</v>
      </c>
      <c r="M189" s="1">
        <v>13</v>
      </c>
      <c r="N189" s="1">
        <v>12</v>
      </c>
      <c r="O189" s="1">
        <v>5</v>
      </c>
      <c r="P189" s="1">
        <v>12</v>
      </c>
      <c r="Q189" s="1">
        <v>0</v>
      </c>
    </row>
    <row r="190" spans="1:17" x14ac:dyDescent="0.25">
      <c r="A190" s="2" t="s">
        <v>23</v>
      </c>
      <c r="B190" s="1">
        <v>14</v>
      </c>
      <c r="C190" s="1">
        <v>3</v>
      </c>
      <c r="D190" s="1">
        <v>12</v>
      </c>
      <c r="E190" s="1">
        <v>12</v>
      </c>
      <c r="F190" s="1">
        <v>15</v>
      </c>
      <c r="G190" s="1">
        <v>8</v>
      </c>
      <c r="H190" s="1">
        <v>12</v>
      </c>
      <c r="I190" s="1">
        <v>5</v>
      </c>
      <c r="J190" s="1">
        <v>17</v>
      </c>
      <c r="K190" s="1">
        <v>0</v>
      </c>
      <c r="L190" s="1">
        <v>7</v>
      </c>
      <c r="M190" s="1">
        <v>6</v>
      </c>
      <c r="N190" s="1">
        <v>2</v>
      </c>
      <c r="O190" s="1">
        <v>0</v>
      </c>
      <c r="P190" s="1">
        <v>15</v>
      </c>
      <c r="Q190" s="1">
        <v>0</v>
      </c>
    </row>
    <row r="191" spans="1:17" x14ac:dyDescent="0.25">
      <c r="A191" s="2" t="s">
        <v>11</v>
      </c>
      <c r="B191" s="1">
        <v>9</v>
      </c>
      <c r="C191" s="1">
        <v>1</v>
      </c>
      <c r="D191" s="1">
        <v>9</v>
      </c>
      <c r="E191" s="1">
        <v>10</v>
      </c>
      <c r="F191" s="1">
        <v>17</v>
      </c>
      <c r="G191" s="1">
        <v>14</v>
      </c>
      <c r="H191" s="1">
        <v>18</v>
      </c>
      <c r="I191" s="1">
        <v>4</v>
      </c>
      <c r="J191" s="1">
        <v>8</v>
      </c>
      <c r="K191" s="1">
        <v>7</v>
      </c>
      <c r="L191" s="1">
        <v>0</v>
      </c>
      <c r="M191" s="1">
        <v>7</v>
      </c>
      <c r="N191" s="1">
        <v>1</v>
      </c>
      <c r="O191" s="1">
        <v>1</v>
      </c>
      <c r="P191" s="1">
        <v>9</v>
      </c>
      <c r="Q191" s="1">
        <v>0</v>
      </c>
    </row>
    <row r="192" spans="1:17" x14ac:dyDescent="0.25">
      <c r="A192" s="1" t="s">
        <v>9</v>
      </c>
      <c r="B192" s="1">
        <v>14</v>
      </c>
      <c r="C192" s="1">
        <v>0</v>
      </c>
      <c r="D192" s="1">
        <v>12</v>
      </c>
      <c r="E192" s="1">
        <v>7</v>
      </c>
      <c r="F192" s="1">
        <v>10</v>
      </c>
      <c r="G192" s="1">
        <v>10</v>
      </c>
      <c r="H192" s="1">
        <v>11</v>
      </c>
      <c r="I192" s="1">
        <v>8</v>
      </c>
      <c r="J192" s="1">
        <v>13</v>
      </c>
      <c r="K192" s="1">
        <v>6</v>
      </c>
      <c r="L192" s="1">
        <v>7</v>
      </c>
      <c r="M192" s="1">
        <v>0</v>
      </c>
      <c r="N192" s="1">
        <v>4</v>
      </c>
      <c r="O192" s="1">
        <v>2</v>
      </c>
      <c r="P192" s="1">
        <v>13</v>
      </c>
      <c r="Q192" s="1">
        <v>0</v>
      </c>
    </row>
    <row r="193" spans="1:17" x14ac:dyDescent="0.25">
      <c r="A193" s="1" t="s">
        <v>24</v>
      </c>
      <c r="B193" s="1">
        <v>14</v>
      </c>
      <c r="C193" s="1">
        <v>0</v>
      </c>
      <c r="D193" s="1">
        <v>6</v>
      </c>
      <c r="E193" s="1">
        <v>9</v>
      </c>
      <c r="F193" s="1">
        <v>11</v>
      </c>
      <c r="G193" s="1">
        <v>10</v>
      </c>
      <c r="H193" s="1">
        <v>13</v>
      </c>
      <c r="I193" s="1">
        <v>3</v>
      </c>
      <c r="J193" s="1">
        <v>12</v>
      </c>
      <c r="K193" s="1">
        <v>2</v>
      </c>
      <c r="L193" s="1">
        <v>1</v>
      </c>
      <c r="M193" s="1">
        <v>4</v>
      </c>
      <c r="N193" s="1">
        <v>0</v>
      </c>
      <c r="O193" s="1">
        <v>0</v>
      </c>
      <c r="P193" s="1">
        <v>6</v>
      </c>
      <c r="Q193" s="1">
        <v>1</v>
      </c>
    </row>
    <row r="194" spans="1:17" x14ac:dyDescent="0.25">
      <c r="A194" s="1" t="s">
        <v>26</v>
      </c>
      <c r="B194" s="1">
        <v>4</v>
      </c>
      <c r="C194" s="1">
        <v>0</v>
      </c>
      <c r="D194" s="1">
        <v>3</v>
      </c>
      <c r="E194" s="1">
        <v>5</v>
      </c>
      <c r="F194" s="1">
        <v>5</v>
      </c>
      <c r="G194" s="1">
        <v>2</v>
      </c>
      <c r="H194" s="1">
        <v>5</v>
      </c>
      <c r="I194" s="1">
        <v>1</v>
      </c>
      <c r="J194" s="1">
        <v>5</v>
      </c>
      <c r="K194" s="1">
        <v>0</v>
      </c>
      <c r="L194" s="1">
        <v>1</v>
      </c>
      <c r="M194" s="1">
        <v>2</v>
      </c>
      <c r="N194" s="1">
        <v>0</v>
      </c>
      <c r="O194" s="1">
        <v>0</v>
      </c>
      <c r="P194" s="1">
        <v>1</v>
      </c>
      <c r="Q194" s="1">
        <v>0</v>
      </c>
    </row>
    <row r="195" spans="1:17" x14ac:dyDescent="0.25">
      <c r="A195" s="1" t="s">
        <v>7</v>
      </c>
      <c r="B195" s="1">
        <v>8</v>
      </c>
      <c r="C195" s="1">
        <v>3</v>
      </c>
      <c r="D195" s="1">
        <v>10</v>
      </c>
      <c r="E195" s="1">
        <v>11</v>
      </c>
      <c r="F195" s="1">
        <v>18</v>
      </c>
      <c r="G195" s="1">
        <v>15</v>
      </c>
      <c r="H195" s="1">
        <v>19</v>
      </c>
      <c r="I195" s="1">
        <v>14</v>
      </c>
      <c r="J195" s="1">
        <v>12</v>
      </c>
      <c r="K195" s="1">
        <v>15</v>
      </c>
      <c r="L195" s="1">
        <v>9</v>
      </c>
      <c r="M195" s="1">
        <v>13</v>
      </c>
      <c r="N195" s="1">
        <v>6</v>
      </c>
      <c r="O195" s="1">
        <v>1</v>
      </c>
      <c r="P195" s="1">
        <v>0</v>
      </c>
      <c r="Q195" s="1">
        <v>2</v>
      </c>
    </row>
    <row r="196" spans="1:17" x14ac:dyDescent="0.25">
      <c r="A196" s="1" t="s">
        <v>10</v>
      </c>
      <c r="B196" s="1">
        <v>3</v>
      </c>
      <c r="C196" s="1">
        <v>0</v>
      </c>
      <c r="D196" s="1">
        <v>0</v>
      </c>
      <c r="E196" s="1">
        <v>2</v>
      </c>
      <c r="F196" s="1">
        <v>4</v>
      </c>
      <c r="G196" s="1">
        <v>4</v>
      </c>
      <c r="H196" s="1">
        <v>4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1</v>
      </c>
      <c r="O196" s="1">
        <v>0</v>
      </c>
      <c r="P196" s="1">
        <v>2</v>
      </c>
      <c r="Q196" s="1">
        <v>0</v>
      </c>
    </row>
    <row r="199" spans="1:17" x14ac:dyDescent="0.25">
      <c r="A199" s="3" t="s">
        <v>138</v>
      </c>
    </row>
    <row r="200" spans="1:17" x14ac:dyDescent="0.25">
      <c r="B200" s="1" t="s">
        <v>3</v>
      </c>
      <c r="C200" s="1" t="s">
        <v>18</v>
      </c>
      <c r="D200" s="1" t="s">
        <v>16</v>
      </c>
      <c r="E200" s="1" t="s">
        <v>22</v>
      </c>
      <c r="F200" s="1" t="s">
        <v>4</v>
      </c>
      <c r="G200" s="1" t="s">
        <v>6</v>
      </c>
      <c r="H200" s="1" t="s">
        <v>5</v>
      </c>
      <c r="I200" s="1" t="s">
        <v>8</v>
      </c>
      <c r="J200" s="1" t="s">
        <v>12</v>
      </c>
      <c r="K200" s="2" t="s">
        <v>23</v>
      </c>
      <c r="L200" s="2" t="s">
        <v>11</v>
      </c>
      <c r="M200" s="1" t="s">
        <v>9</v>
      </c>
      <c r="N200" s="1" t="s">
        <v>24</v>
      </c>
      <c r="O200" s="1" t="s">
        <v>26</v>
      </c>
      <c r="P200" s="1" t="s">
        <v>7</v>
      </c>
      <c r="Q200" s="1" t="s">
        <v>10</v>
      </c>
    </row>
    <row r="201" spans="1:17" x14ac:dyDescent="0.25">
      <c r="A201" s="1" t="s">
        <v>3</v>
      </c>
      <c r="B201" s="7" t="str">
        <f t="shared" ref="B201:Q201" si="6">IF(B181=0,"",B161/B181)</f>
        <v/>
      </c>
      <c r="C201" s="7">
        <f t="shared" si="6"/>
        <v>0</v>
      </c>
      <c r="D201" s="7">
        <f t="shared" si="6"/>
        <v>0.46666666666666667</v>
      </c>
      <c r="E201" s="7">
        <f t="shared" si="6"/>
        <v>0.44444444444444442</v>
      </c>
      <c r="F201" s="7">
        <f t="shared" si="6"/>
        <v>0.52173913043478259</v>
      </c>
      <c r="G201" s="7">
        <f t="shared" si="6"/>
        <v>0.55555555555555558</v>
      </c>
      <c r="H201" s="7">
        <f t="shared" si="6"/>
        <v>0.42307692307692307</v>
      </c>
      <c r="I201" s="7">
        <f t="shared" si="6"/>
        <v>0.42857142857142855</v>
      </c>
      <c r="J201" s="7">
        <f t="shared" si="6"/>
        <v>0.4</v>
      </c>
      <c r="K201" s="7">
        <f t="shared" si="6"/>
        <v>0.35714285714285715</v>
      </c>
      <c r="L201" s="7">
        <f t="shared" si="6"/>
        <v>0.44444444444444442</v>
      </c>
      <c r="M201" s="7">
        <f t="shared" si="6"/>
        <v>0.35714285714285715</v>
      </c>
      <c r="N201" s="7">
        <f t="shared" si="6"/>
        <v>0.42857142857142855</v>
      </c>
      <c r="O201" s="7">
        <f t="shared" si="6"/>
        <v>0.75</v>
      </c>
      <c r="P201" s="7">
        <f t="shared" si="6"/>
        <v>0.625</v>
      </c>
      <c r="Q201" s="7">
        <f t="shared" si="6"/>
        <v>0</v>
      </c>
    </row>
    <row r="202" spans="1:17" x14ac:dyDescent="0.25">
      <c r="A202" s="1" t="s">
        <v>18</v>
      </c>
      <c r="B202" s="7">
        <f t="shared" ref="B202:Q202" si="7">IF(B182=0,"",B162/B182)</f>
        <v>1</v>
      </c>
      <c r="C202" s="7" t="str">
        <f t="shared" si="7"/>
        <v/>
      </c>
      <c r="D202" s="7">
        <f t="shared" si="7"/>
        <v>0.7142857142857143</v>
      </c>
      <c r="E202" s="7">
        <f t="shared" si="7"/>
        <v>0</v>
      </c>
      <c r="F202" s="7">
        <f t="shared" si="7"/>
        <v>0.7142857142857143</v>
      </c>
      <c r="G202" s="7">
        <f t="shared" si="7"/>
        <v>0.5</v>
      </c>
      <c r="H202" s="7">
        <f t="shared" si="7"/>
        <v>0.6</v>
      </c>
      <c r="I202" s="7">
        <f t="shared" si="7"/>
        <v>0.66666666666666663</v>
      </c>
      <c r="J202" s="7">
        <f t="shared" si="7"/>
        <v>0.75</v>
      </c>
      <c r="K202" s="7">
        <f t="shared" si="7"/>
        <v>0.66666666666666663</v>
      </c>
      <c r="L202" s="7">
        <f t="shared" si="7"/>
        <v>1</v>
      </c>
      <c r="M202" s="7" t="str">
        <f t="shared" si="7"/>
        <v/>
      </c>
      <c r="N202" s="7" t="str">
        <f t="shared" si="7"/>
        <v/>
      </c>
      <c r="O202" s="7" t="str">
        <f t="shared" si="7"/>
        <v/>
      </c>
      <c r="P202" s="7">
        <f t="shared" si="7"/>
        <v>0.66666666666666663</v>
      </c>
      <c r="Q202" s="7" t="str">
        <f t="shared" si="7"/>
        <v/>
      </c>
    </row>
    <row r="203" spans="1:17" x14ac:dyDescent="0.25">
      <c r="A203" s="1" t="s">
        <v>16</v>
      </c>
      <c r="B203" s="7">
        <f t="shared" ref="B203:Q203" si="8">IF(B183=0,"",B163/B183)</f>
        <v>0.53333333333333333</v>
      </c>
      <c r="C203" s="7">
        <f t="shared" si="8"/>
        <v>0.2857142857142857</v>
      </c>
      <c r="D203" s="7" t="str">
        <f t="shared" si="8"/>
        <v/>
      </c>
      <c r="E203" s="7">
        <f t="shared" si="8"/>
        <v>0.58823529411764708</v>
      </c>
      <c r="F203" s="7">
        <f t="shared" si="8"/>
        <v>0.6875</v>
      </c>
      <c r="G203" s="7">
        <f t="shared" si="8"/>
        <v>0.5714285714285714</v>
      </c>
      <c r="H203" s="7">
        <f t="shared" si="8"/>
        <v>0.5625</v>
      </c>
      <c r="I203" s="7">
        <f t="shared" si="8"/>
        <v>0.6</v>
      </c>
      <c r="J203" s="7">
        <f t="shared" si="8"/>
        <v>0.61538461538461542</v>
      </c>
      <c r="K203" s="7">
        <f t="shared" si="8"/>
        <v>0.5</v>
      </c>
      <c r="L203" s="7">
        <f t="shared" si="8"/>
        <v>0.55555555555555558</v>
      </c>
      <c r="M203" s="7">
        <f t="shared" si="8"/>
        <v>0.5</v>
      </c>
      <c r="N203" s="7">
        <f t="shared" si="8"/>
        <v>0.5</v>
      </c>
      <c r="O203" s="7">
        <f t="shared" si="8"/>
        <v>0.66666666666666663</v>
      </c>
      <c r="P203" s="7">
        <f t="shared" si="8"/>
        <v>0.7</v>
      </c>
      <c r="Q203" s="7" t="str">
        <f t="shared" si="8"/>
        <v/>
      </c>
    </row>
    <row r="204" spans="1:17" x14ac:dyDescent="0.25">
      <c r="A204" s="1" t="s">
        <v>22</v>
      </c>
      <c r="B204" s="7">
        <f t="shared" ref="B204:Q204" si="9">IF(B184=0,"",B164/B184)</f>
        <v>0.55555555555555558</v>
      </c>
      <c r="C204" s="7">
        <f t="shared" si="9"/>
        <v>1</v>
      </c>
      <c r="D204" s="7">
        <f t="shared" si="9"/>
        <v>0.41176470588235292</v>
      </c>
      <c r="E204" s="7" t="str">
        <f t="shared" si="9"/>
        <v/>
      </c>
      <c r="F204" s="7">
        <f t="shared" si="9"/>
        <v>0.73333333333333328</v>
      </c>
      <c r="G204" s="7">
        <f t="shared" si="9"/>
        <v>0.5714285714285714</v>
      </c>
      <c r="H204" s="7">
        <f t="shared" si="9"/>
        <v>0.58823529411764708</v>
      </c>
      <c r="I204" s="7">
        <f t="shared" si="9"/>
        <v>0.4375</v>
      </c>
      <c r="J204" s="7">
        <f t="shared" si="9"/>
        <v>0.5</v>
      </c>
      <c r="K204" s="7">
        <f t="shared" si="9"/>
        <v>0.58333333333333337</v>
      </c>
      <c r="L204" s="7">
        <f t="shared" si="9"/>
        <v>0.6</v>
      </c>
      <c r="M204" s="7">
        <f t="shared" si="9"/>
        <v>0.5714285714285714</v>
      </c>
      <c r="N204" s="7">
        <f t="shared" si="9"/>
        <v>0.22222222222222221</v>
      </c>
      <c r="O204" s="7">
        <f t="shared" si="9"/>
        <v>0.2</v>
      </c>
      <c r="P204" s="7">
        <f t="shared" si="9"/>
        <v>0.72727272727272729</v>
      </c>
      <c r="Q204" s="7">
        <f t="shared" si="9"/>
        <v>0</v>
      </c>
    </row>
    <row r="205" spans="1:17" x14ac:dyDescent="0.25">
      <c r="A205" s="1" t="s">
        <v>4</v>
      </c>
      <c r="B205" s="7">
        <f t="shared" ref="B205:Q205" si="10">IF(B185=0,"",B165/B185)</f>
        <v>0.47826086956521741</v>
      </c>
      <c r="C205" s="7">
        <f t="shared" si="10"/>
        <v>0.2857142857142857</v>
      </c>
      <c r="D205" s="7">
        <f t="shared" si="10"/>
        <v>0.3125</v>
      </c>
      <c r="E205" s="7">
        <f t="shared" si="10"/>
        <v>0.26666666666666666</v>
      </c>
      <c r="F205" s="7" t="str">
        <f t="shared" si="10"/>
        <v/>
      </c>
      <c r="G205" s="7">
        <f t="shared" si="10"/>
        <v>0.5</v>
      </c>
      <c r="H205" s="7">
        <f t="shared" si="10"/>
        <v>0.44444444444444442</v>
      </c>
      <c r="I205" s="7">
        <f t="shared" si="10"/>
        <v>0.33333333333333331</v>
      </c>
      <c r="J205" s="7">
        <f t="shared" si="10"/>
        <v>0.40625</v>
      </c>
      <c r="K205" s="7">
        <f t="shared" si="10"/>
        <v>0.4</v>
      </c>
      <c r="L205" s="7">
        <f t="shared" si="10"/>
        <v>0.52941176470588236</v>
      </c>
      <c r="M205" s="7">
        <f t="shared" si="10"/>
        <v>0.3</v>
      </c>
      <c r="N205" s="7">
        <f t="shared" si="10"/>
        <v>0.18181818181818182</v>
      </c>
      <c r="O205" s="7">
        <f t="shared" si="10"/>
        <v>0.2</v>
      </c>
      <c r="P205" s="7">
        <f t="shared" si="10"/>
        <v>0.66666666666666663</v>
      </c>
      <c r="Q205" s="7">
        <f t="shared" si="10"/>
        <v>0</v>
      </c>
    </row>
    <row r="206" spans="1:17" x14ac:dyDescent="0.25">
      <c r="A206" s="1" t="s">
        <v>6</v>
      </c>
      <c r="B206" s="7">
        <f t="shared" ref="B206:Q206" si="11">IF(B186=0,"",B166/B186)</f>
        <v>0.44444444444444442</v>
      </c>
      <c r="C206" s="7">
        <f t="shared" si="11"/>
        <v>0.5</v>
      </c>
      <c r="D206" s="7">
        <f t="shared" si="11"/>
        <v>0.42857142857142855</v>
      </c>
      <c r="E206" s="7">
        <f t="shared" si="11"/>
        <v>0.42857142857142855</v>
      </c>
      <c r="F206" s="7">
        <f t="shared" si="11"/>
        <v>0.5</v>
      </c>
      <c r="G206" s="7" t="str">
        <f t="shared" si="11"/>
        <v/>
      </c>
      <c r="H206" s="7">
        <f t="shared" si="11"/>
        <v>0.4</v>
      </c>
      <c r="I206" s="7">
        <f t="shared" si="11"/>
        <v>0.2857142857142857</v>
      </c>
      <c r="J206" s="7">
        <f t="shared" si="11"/>
        <v>0.42857142857142855</v>
      </c>
      <c r="K206" s="7">
        <f t="shared" si="11"/>
        <v>0.375</v>
      </c>
      <c r="L206" s="7">
        <f t="shared" si="11"/>
        <v>0.5</v>
      </c>
      <c r="M206" s="7">
        <f t="shared" si="11"/>
        <v>0.3</v>
      </c>
      <c r="N206" s="7">
        <f t="shared" si="11"/>
        <v>0.3</v>
      </c>
      <c r="O206" s="7">
        <f t="shared" si="11"/>
        <v>0.5</v>
      </c>
      <c r="P206" s="7">
        <f t="shared" si="11"/>
        <v>0.66666666666666663</v>
      </c>
      <c r="Q206" s="7">
        <f t="shared" si="11"/>
        <v>0</v>
      </c>
    </row>
    <row r="207" spans="1:17" x14ac:dyDescent="0.25">
      <c r="A207" s="1" t="s">
        <v>5</v>
      </c>
      <c r="B207" s="7">
        <f t="shared" ref="B207:Q207" si="12">IF(B187=0,"",B167/B187)</f>
        <v>0.57692307692307687</v>
      </c>
      <c r="C207" s="7">
        <f t="shared" si="12"/>
        <v>0.4</v>
      </c>
      <c r="D207" s="7">
        <f t="shared" si="12"/>
        <v>0.4375</v>
      </c>
      <c r="E207" s="7">
        <f t="shared" si="12"/>
        <v>0.41176470588235292</v>
      </c>
      <c r="F207" s="7">
        <f t="shared" si="12"/>
        <v>0.55555555555555558</v>
      </c>
      <c r="G207" s="7">
        <f t="shared" si="12"/>
        <v>0.6</v>
      </c>
      <c r="H207" s="7" t="str">
        <f t="shared" si="12"/>
        <v/>
      </c>
      <c r="I207" s="7">
        <f t="shared" si="12"/>
        <v>0.47058823529411764</v>
      </c>
      <c r="J207" s="7">
        <f t="shared" si="12"/>
        <v>0.48275862068965519</v>
      </c>
      <c r="K207" s="7">
        <f t="shared" si="12"/>
        <v>0.41666666666666669</v>
      </c>
      <c r="L207" s="7">
        <f t="shared" si="12"/>
        <v>0.55555555555555558</v>
      </c>
      <c r="M207" s="7">
        <f t="shared" si="12"/>
        <v>0.27272727272727271</v>
      </c>
      <c r="N207" s="7">
        <f t="shared" si="12"/>
        <v>0.38461538461538464</v>
      </c>
      <c r="O207" s="7">
        <f t="shared" si="12"/>
        <v>0.4</v>
      </c>
      <c r="P207" s="7">
        <f t="shared" si="12"/>
        <v>0.68421052631578949</v>
      </c>
      <c r="Q207" s="7">
        <f t="shared" si="12"/>
        <v>0</v>
      </c>
    </row>
    <row r="208" spans="1:17" x14ac:dyDescent="0.25">
      <c r="A208" s="1" t="s">
        <v>8</v>
      </c>
      <c r="B208" s="7">
        <f t="shared" ref="B208:Q208" si="13">IF(B188=0,"",B168/B188)</f>
        <v>0.5714285714285714</v>
      </c>
      <c r="C208" s="7">
        <f t="shared" si="13"/>
        <v>0.33333333333333331</v>
      </c>
      <c r="D208" s="7">
        <f t="shared" si="13"/>
        <v>0.4</v>
      </c>
      <c r="E208" s="7">
        <f t="shared" si="13"/>
        <v>0.5625</v>
      </c>
      <c r="F208" s="7">
        <f t="shared" si="13"/>
        <v>0.66666666666666663</v>
      </c>
      <c r="G208" s="7">
        <f t="shared" si="13"/>
        <v>0.7142857142857143</v>
      </c>
      <c r="H208" s="7">
        <f t="shared" si="13"/>
        <v>0.52941176470588236</v>
      </c>
      <c r="I208" s="7" t="str">
        <f t="shared" si="13"/>
        <v/>
      </c>
      <c r="J208" s="7">
        <f t="shared" si="13"/>
        <v>0.41666666666666669</v>
      </c>
      <c r="K208" s="7">
        <f t="shared" si="13"/>
        <v>0.2</v>
      </c>
      <c r="L208" s="7">
        <f t="shared" si="13"/>
        <v>0.5</v>
      </c>
      <c r="M208" s="7">
        <f t="shared" si="13"/>
        <v>0.25</v>
      </c>
      <c r="N208" s="7">
        <f t="shared" si="13"/>
        <v>0.66666666666666663</v>
      </c>
      <c r="O208" s="7">
        <f t="shared" si="13"/>
        <v>0</v>
      </c>
      <c r="P208" s="7">
        <f t="shared" si="13"/>
        <v>0.7142857142857143</v>
      </c>
      <c r="Q208" s="7" t="str">
        <f t="shared" si="13"/>
        <v/>
      </c>
    </row>
    <row r="209" spans="1:17" x14ac:dyDescent="0.25">
      <c r="A209" s="1" t="s">
        <v>12</v>
      </c>
      <c r="B209" s="7">
        <f t="shared" ref="B209:Q209" si="14">IF(B189=0,"",B169/B189)</f>
        <v>0.6</v>
      </c>
      <c r="C209" s="7">
        <f t="shared" si="14"/>
        <v>0.25</v>
      </c>
      <c r="D209" s="7">
        <f t="shared" si="14"/>
        <v>0.38461538461538464</v>
      </c>
      <c r="E209" s="7">
        <f t="shared" si="14"/>
        <v>0.5</v>
      </c>
      <c r="F209" s="7">
        <f t="shared" si="14"/>
        <v>0.59375</v>
      </c>
      <c r="G209" s="7">
        <f t="shared" si="14"/>
        <v>0.5714285714285714</v>
      </c>
      <c r="H209" s="7">
        <f t="shared" si="14"/>
        <v>0.51724137931034486</v>
      </c>
      <c r="I209" s="7">
        <f t="shared" si="14"/>
        <v>0.58333333333333337</v>
      </c>
      <c r="J209" s="7" t="str">
        <f t="shared" si="14"/>
        <v/>
      </c>
      <c r="K209" s="7">
        <f t="shared" si="14"/>
        <v>0.47058823529411764</v>
      </c>
      <c r="L209" s="7">
        <f t="shared" si="14"/>
        <v>0.5</v>
      </c>
      <c r="M209" s="7">
        <f t="shared" si="14"/>
        <v>0.23076923076923078</v>
      </c>
      <c r="N209" s="7">
        <f t="shared" si="14"/>
        <v>0.5</v>
      </c>
      <c r="O209" s="7">
        <f t="shared" si="14"/>
        <v>0.6</v>
      </c>
      <c r="P209" s="7">
        <f t="shared" si="14"/>
        <v>0.75</v>
      </c>
      <c r="Q209" s="7" t="str">
        <f t="shared" si="14"/>
        <v/>
      </c>
    </row>
    <row r="210" spans="1:17" x14ac:dyDescent="0.25">
      <c r="A210" s="2" t="s">
        <v>23</v>
      </c>
      <c r="B210" s="7">
        <f t="shared" ref="B210:Q210" si="15">IF(B190=0,"",B170/B190)</f>
        <v>0.6428571428571429</v>
      </c>
      <c r="C210" s="7">
        <f t="shared" si="15"/>
        <v>0.33333333333333331</v>
      </c>
      <c r="D210" s="7">
        <f t="shared" si="15"/>
        <v>0.5</v>
      </c>
      <c r="E210" s="7">
        <f t="shared" si="15"/>
        <v>0.41666666666666669</v>
      </c>
      <c r="F210" s="7">
        <f t="shared" si="15"/>
        <v>0.6</v>
      </c>
      <c r="G210" s="7">
        <f t="shared" si="15"/>
        <v>0.625</v>
      </c>
      <c r="H210" s="7">
        <f t="shared" si="15"/>
        <v>0.58333333333333337</v>
      </c>
      <c r="I210" s="7">
        <f t="shared" si="15"/>
        <v>0.8</v>
      </c>
      <c r="J210" s="7">
        <f t="shared" si="15"/>
        <v>0.52941176470588236</v>
      </c>
      <c r="K210" s="7" t="str">
        <f t="shared" si="15"/>
        <v/>
      </c>
      <c r="L210" s="7">
        <f t="shared" si="15"/>
        <v>0.5714285714285714</v>
      </c>
      <c r="M210" s="7">
        <f t="shared" si="15"/>
        <v>0.5</v>
      </c>
      <c r="N210" s="7">
        <f t="shared" si="15"/>
        <v>0.5</v>
      </c>
      <c r="O210" s="7" t="str">
        <f t="shared" si="15"/>
        <v/>
      </c>
      <c r="P210" s="7">
        <f t="shared" si="15"/>
        <v>0.66666666666666663</v>
      </c>
      <c r="Q210" s="7" t="str">
        <f t="shared" si="15"/>
        <v/>
      </c>
    </row>
    <row r="211" spans="1:17" x14ac:dyDescent="0.25">
      <c r="A211" s="2" t="s">
        <v>11</v>
      </c>
      <c r="B211" s="7">
        <f t="shared" ref="B211:Q211" si="16">IF(B191=0,"",B171/B191)</f>
        <v>0.55555555555555558</v>
      </c>
      <c r="C211" s="7">
        <f t="shared" si="16"/>
        <v>0</v>
      </c>
      <c r="D211" s="7">
        <f t="shared" si="16"/>
        <v>0.44444444444444442</v>
      </c>
      <c r="E211" s="7">
        <f t="shared" si="16"/>
        <v>0.4</v>
      </c>
      <c r="F211" s="7">
        <f t="shared" si="16"/>
        <v>0.47058823529411764</v>
      </c>
      <c r="G211" s="7">
        <f t="shared" si="16"/>
        <v>0.5</v>
      </c>
      <c r="H211" s="7">
        <f t="shared" si="16"/>
        <v>0.44444444444444442</v>
      </c>
      <c r="I211" s="7">
        <f t="shared" si="16"/>
        <v>0.5</v>
      </c>
      <c r="J211" s="7">
        <f t="shared" si="16"/>
        <v>0.5</v>
      </c>
      <c r="K211" s="7">
        <f t="shared" si="16"/>
        <v>0.42857142857142855</v>
      </c>
      <c r="L211" s="7" t="str">
        <f t="shared" si="16"/>
        <v/>
      </c>
      <c r="M211" s="7">
        <f t="shared" si="16"/>
        <v>0.2857142857142857</v>
      </c>
      <c r="N211" s="7">
        <f t="shared" si="16"/>
        <v>1</v>
      </c>
      <c r="O211" s="7">
        <f t="shared" si="16"/>
        <v>1</v>
      </c>
      <c r="P211" s="7">
        <f t="shared" si="16"/>
        <v>0.55555555555555558</v>
      </c>
      <c r="Q211" s="7" t="str">
        <f t="shared" si="16"/>
        <v/>
      </c>
    </row>
    <row r="212" spans="1:17" x14ac:dyDescent="0.25">
      <c r="A212" s="1" t="s">
        <v>9</v>
      </c>
      <c r="B212" s="7">
        <f t="shared" ref="B212:Q212" si="17">IF(B192=0,"",B172/B192)</f>
        <v>0.6428571428571429</v>
      </c>
      <c r="C212" s="7" t="str">
        <f t="shared" si="17"/>
        <v/>
      </c>
      <c r="D212" s="7">
        <f t="shared" si="17"/>
        <v>0.5</v>
      </c>
      <c r="E212" s="7">
        <f t="shared" si="17"/>
        <v>0.42857142857142855</v>
      </c>
      <c r="F212" s="7">
        <f t="shared" si="17"/>
        <v>0.7</v>
      </c>
      <c r="G212" s="7">
        <f t="shared" si="17"/>
        <v>0.7</v>
      </c>
      <c r="H212" s="7">
        <f t="shared" si="17"/>
        <v>0.72727272727272729</v>
      </c>
      <c r="I212" s="7">
        <f t="shared" si="17"/>
        <v>0.75</v>
      </c>
      <c r="J212" s="7">
        <f t="shared" si="17"/>
        <v>0.76923076923076927</v>
      </c>
      <c r="K212" s="7">
        <f t="shared" si="17"/>
        <v>0.5</v>
      </c>
      <c r="L212" s="7">
        <f t="shared" si="17"/>
        <v>0.7142857142857143</v>
      </c>
      <c r="M212" s="7" t="str">
        <f t="shared" si="17"/>
        <v/>
      </c>
      <c r="N212" s="7">
        <f t="shared" si="17"/>
        <v>0.25</v>
      </c>
      <c r="O212" s="7">
        <f t="shared" si="17"/>
        <v>0.5</v>
      </c>
      <c r="P212" s="7">
        <f t="shared" si="17"/>
        <v>0.92307692307692313</v>
      </c>
      <c r="Q212" s="7" t="str">
        <f t="shared" si="17"/>
        <v/>
      </c>
    </row>
    <row r="213" spans="1:17" x14ac:dyDescent="0.25">
      <c r="A213" s="1" t="s">
        <v>24</v>
      </c>
      <c r="B213" s="7">
        <f t="shared" ref="B213:Q213" si="18">IF(B193=0,"",B173/B193)</f>
        <v>0.5714285714285714</v>
      </c>
      <c r="C213" s="7" t="str">
        <f t="shared" si="18"/>
        <v/>
      </c>
      <c r="D213" s="7">
        <f t="shared" si="18"/>
        <v>0.5</v>
      </c>
      <c r="E213" s="7">
        <f t="shared" si="18"/>
        <v>0.77777777777777779</v>
      </c>
      <c r="F213" s="7">
        <f t="shared" si="18"/>
        <v>0.81818181818181823</v>
      </c>
      <c r="G213" s="7">
        <f t="shared" si="18"/>
        <v>0.7</v>
      </c>
      <c r="H213" s="7">
        <f t="shared" si="18"/>
        <v>0.61538461538461542</v>
      </c>
      <c r="I213" s="7">
        <f t="shared" si="18"/>
        <v>0.33333333333333331</v>
      </c>
      <c r="J213" s="7">
        <f t="shared" si="18"/>
        <v>0.5</v>
      </c>
      <c r="K213" s="7">
        <f t="shared" si="18"/>
        <v>0.5</v>
      </c>
      <c r="L213" s="7">
        <f t="shared" si="18"/>
        <v>0</v>
      </c>
      <c r="M213" s="7">
        <f t="shared" si="18"/>
        <v>0.75</v>
      </c>
      <c r="N213" s="7" t="str">
        <f t="shared" si="18"/>
        <v/>
      </c>
      <c r="O213" s="7" t="str">
        <f t="shared" si="18"/>
        <v/>
      </c>
      <c r="P213" s="7">
        <f t="shared" si="18"/>
        <v>1</v>
      </c>
      <c r="Q213" s="7">
        <f t="shared" si="18"/>
        <v>0</v>
      </c>
    </row>
    <row r="214" spans="1:17" x14ac:dyDescent="0.25">
      <c r="A214" s="1" t="s">
        <v>26</v>
      </c>
      <c r="B214" s="7">
        <f t="shared" ref="B214:Q214" si="19">IF(B194=0,"",B174/B194)</f>
        <v>0.25</v>
      </c>
      <c r="C214" s="7" t="str">
        <f t="shared" si="19"/>
        <v/>
      </c>
      <c r="D214" s="7">
        <f t="shared" si="19"/>
        <v>0.33333333333333331</v>
      </c>
      <c r="E214" s="7">
        <f t="shared" si="19"/>
        <v>0.8</v>
      </c>
      <c r="F214" s="7">
        <f t="shared" si="19"/>
        <v>0.8</v>
      </c>
      <c r="G214" s="7">
        <f t="shared" si="19"/>
        <v>0.5</v>
      </c>
      <c r="H214" s="7">
        <f t="shared" si="19"/>
        <v>0.6</v>
      </c>
      <c r="I214" s="7">
        <f t="shared" si="19"/>
        <v>1</v>
      </c>
      <c r="J214" s="7">
        <f t="shared" si="19"/>
        <v>0.4</v>
      </c>
      <c r="K214" s="7" t="str">
        <f t="shared" si="19"/>
        <v/>
      </c>
      <c r="L214" s="7">
        <f t="shared" si="19"/>
        <v>0</v>
      </c>
      <c r="M214" s="7">
        <f t="shared" si="19"/>
        <v>0.5</v>
      </c>
      <c r="N214" s="7" t="str">
        <f t="shared" si="19"/>
        <v/>
      </c>
      <c r="O214" s="7" t="str">
        <f t="shared" si="19"/>
        <v/>
      </c>
      <c r="P214" s="7">
        <f t="shared" si="19"/>
        <v>1</v>
      </c>
      <c r="Q214" s="7" t="str">
        <f t="shared" si="19"/>
        <v/>
      </c>
    </row>
    <row r="215" spans="1:17" x14ac:dyDescent="0.25">
      <c r="A215" s="1" t="s">
        <v>7</v>
      </c>
      <c r="B215" s="7">
        <f t="shared" ref="B215:Q215" si="20">IF(B195=0,"",B175/B195)</f>
        <v>0.375</v>
      </c>
      <c r="C215" s="7">
        <f t="shared" si="20"/>
        <v>0.33333333333333331</v>
      </c>
      <c r="D215" s="7">
        <f t="shared" si="20"/>
        <v>0.3</v>
      </c>
      <c r="E215" s="7">
        <f t="shared" si="20"/>
        <v>0.27272727272727271</v>
      </c>
      <c r="F215" s="7">
        <f t="shared" si="20"/>
        <v>0.33333333333333331</v>
      </c>
      <c r="G215" s="7">
        <f t="shared" si="20"/>
        <v>0.33333333333333331</v>
      </c>
      <c r="H215" s="7">
        <f t="shared" si="20"/>
        <v>0.31578947368421051</v>
      </c>
      <c r="I215" s="7">
        <f t="shared" si="20"/>
        <v>0.2857142857142857</v>
      </c>
      <c r="J215" s="7">
        <f t="shared" si="20"/>
        <v>0.25</v>
      </c>
      <c r="K215" s="7">
        <f t="shared" si="20"/>
        <v>0.33333333333333331</v>
      </c>
      <c r="L215" s="7">
        <f t="shared" si="20"/>
        <v>0.44444444444444442</v>
      </c>
      <c r="M215" s="7">
        <f t="shared" si="20"/>
        <v>7.6923076923076927E-2</v>
      </c>
      <c r="N215" s="7">
        <f t="shared" si="20"/>
        <v>0</v>
      </c>
      <c r="O215" s="7">
        <f t="shared" si="20"/>
        <v>0</v>
      </c>
      <c r="P215" s="7" t="str">
        <f t="shared" si="20"/>
        <v/>
      </c>
      <c r="Q215" s="7">
        <f t="shared" si="20"/>
        <v>0</v>
      </c>
    </row>
    <row r="216" spans="1:17" x14ac:dyDescent="0.25">
      <c r="A216" s="1" t="s">
        <v>10</v>
      </c>
      <c r="B216" s="7">
        <f t="shared" ref="B216:Q216" si="21">IF(B196=0,"",B176/B196)</f>
        <v>1</v>
      </c>
      <c r="C216" s="7" t="str">
        <f t="shared" si="21"/>
        <v/>
      </c>
      <c r="D216" s="7" t="str">
        <f t="shared" si="21"/>
        <v/>
      </c>
      <c r="E216" s="7">
        <f t="shared" si="21"/>
        <v>1</v>
      </c>
      <c r="F216" s="7">
        <f t="shared" si="21"/>
        <v>1</v>
      </c>
      <c r="G216" s="7">
        <f t="shared" si="21"/>
        <v>1</v>
      </c>
      <c r="H216" s="7">
        <f t="shared" si="21"/>
        <v>1</v>
      </c>
      <c r="I216" s="7" t="str">
        <f t="shared" si="21"/>
        <v/>
      </c>
      <c r="J216" s="7" t="str">
        <f t="shared" si="21"/>
        <v/>
      </c>
      <c r="K216" s="7" t="str">
        <f t="shared" si="21"/>
        <v/>
      </c>
      <c r="L216" s="7" t="str">
        <f t="shared" si="21"/>
        <v/>
      </c>
      <c r="M216" s="7" t="str">
        <f t="shared" si="21"/>
        <v/>
      </c>
      <c r="N216" s="7">
        <f t="shared" si="21"/>
        <v>1</v>
      </c>
      <c r="O216" s="7" t="str">
        <f t="shared" si="21"/>
        <v/>
      </c>
      <c r="P216" s="7">
        <f t="shared" si="21"/>
        <v>1</v>
      </c>
      <c r="Q216" s="7" t="str">
        <f t="shared" si="21"/>
        <v/>
      </c>
    </row>
    <row r="217" spans="1:17" x14ac:dyDescent="0.25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</row>
    <row r="219" spans="1:17" x14ac:dyDescent="0.25">
      <c r="A219" s="3" t="s">
        <v>139</v>
      </c>
    </row>
    <row r="220" spans="1:17" x14ac:dyDescent="0.25">
      <c r="B220" s="1" t="s">
        <v>3</v>
      </c>
      <c r="C220" s="1" t="s">
        <v>18</v>
      </c>
      <c r="D220" s="1" t="s">
        <v>16</v>
      </c>
      <c r="E220" s="1" t="s">
        <v>22</v>
      </c>
      <c r="F220" s="1" t="s">
        <v>4</v>
      </c>
      <c r="G220" s="1" t="s">
        <v>6</v>
      </c>
      <c r="H220" s="1" t="s">
        <v>5</v>
      </c>
      <c r="I220" s="1" t="s">
        <v>8</v>
      </c>
      <c r="J220" s="1" t="s">
        <v>12</v>
      </c>
      <c r="K220" s="2" t="s">
        <v>23</v>
      </c>
      <c r="L220" s="2" t="s">
        <v>11</v>
      </c>
      <c r="M220" s="1" t="s">
        <v>9</v>
      </c>
      <c r="N220" s="1" t="s">
        <v>24</v>
      </c>
      <c r="O220" s="1" t="s">
        <v>26</v>
      </c>
      <c r="P220" s="1" t="s">
        <v>7</v>
      </c>
      <c r="Q220" s="1" t="s">
        <v>10</v>
      </c>
    </row>
    <row r="221" spans="1:17" x14ac:dyDescent="0.25">
      <c r="A221" s="1" t="s">
        <v>3</v>
      </c>
      <c r="B221" s="1" t="str">
        <f>IF(B181=0,"",CONCATENATE(B161,"/",B181))</f>
        <v/>
      </c>
      <c r="C221" s="1" t="str">
        <f t="shared" ref="C221:Q221" si="22">IF(C181=0,"",CONCATENATE(C161,"/",C181))</f>
        <v>0/4</v>
      </c>
      <c r="D221" s="1" t="str">
        <f t="shared" si="22"/>
        <v>7/15</v>
      </c>
      <c r="E221" s="1" t="str">
        <f t="shared" si="22"/>
        <v>8/18</v>
      </c>
      <c r="F221" s="1" t="str">
        <f t="shared" si="22"/>
        <v>12/23</v>
      </c>
      <c r="G221" s="1" t="str">
        <f t="shared" si="22"/>
        <v>10/18</v>
      </c>
      <c r="H221" s="1" t="str">
        <f t="shared" si="22"/>
        <v>11/26</v>
      </c>
      <c r="I221" s="1" t="str">
        <f t="shared" si="22"/>
        <v>9/21</v>
      </c>
      <c r="J221" s="1" t="str">
        <f t="shared" si="22"/>
        <v>6/15</v>
      </c>
      <c r="K221" s="1" t="str">
        <f t="shared" si="22"/>
        <v>5/14</v>
      </c>
      <c r="L221" s="1" t="str">
        <f t="shared" si="22"/>
        <v>4/9</v>
      </c>
      <c r="M221" s="1" t="str">
        <f t="shared" si="22"/>
        <v>5/14</v>
      </c>
      <c r="N221" s="1" t="str">
        <f t="shared" si="22"/>
        <v>6/14</v>
      </c>
      <c r="O221" s="1" t="str">
        <f t="shared" si="22"/>
        <v>3/4</v>
      </c>
      <c r="P221" s="1" t="str">
        <f t="shared" si="22"/>
        <v>5/8</v>
      </c>
      <c r="Q221" s="1" t="str">
        <f t="shared" si="22"/>
        <v>0/3</v>
      </c>
    </row>
    <row r="222" spans="1:17" x14ac:dyDescent="0.25">
      <c r="A222" s="1" t="s">
        <v>18</v>
      </c>
      <c r="B222" s="1" t="str">
        <f t="shared" ref="B222:Q236" si="23">IF(B182=0,"",CONCATENATE(B162,"/",B182))</f>
        <v>4/4</v>
      </c>
      <c r="C222" s="1" t="str">
        <f t="shared" si="23"/>
        <v/>
      </c>
      <c r="D222" s="1" t="str">
        <f t="shared" si="23"/>
        <v>5/7</v>
      </c>
      <c r="E222" s="1" t="str">
        <f t="shared" si="23"/>
        <v>0/2</v>
      </c>
      <c r="F222" s="1" t="str">
        <f t="shared" si="23"/>
        <v>5/7</v>
      </c>
      <c r="G222" s="1" t="str">
        <f t="shared" si="23"/>
        <v>2/4</v>
      </c>
      <c r="H222" s="1" t="str">
        <f t="shared" si="23"/>
        <v>3/5</v>
      </c>
      <c r="I222" s="1" t="str">
        <f t="shared" si="23"/>
        <v>2/3</v>
      </c>
      <c r="J222" s="1" t="str">
        <f t="shared" si="23"/>
        <v>3/4</v>
      </c>
      <c r="K222" s="1" t="str">
        <f t="shared" si="23"/>
        <v>2/3</v>
      </c>
      <c r="L222" s="1" t="str">
        <f t="shared" si="23"/>
        <v>1/1</v>
      </c>
      <c r="M222" s="1" t="str">
        <f t="shared" si="23"/>
        <v/>
      </c>
      <c r="N222" s="1" t="str">
        <f t="shared" si="23"/>
        <v/>
      </c>
      <c r="O222" s="1" t="str">
        <f t="shared" si="23"/>
        <v/>
      </c>
      <c r="P222" s="1" t="str">
        <f t="shared" si="23"/>
        <v>2/3</v>
      </c>
      <c r="Q222" s="1" t="str">
        <f t="shared" si="23"/>
        <v/>
      </c>
    </row>
    <row r="223" spans="1:17" x14ac:dyDescent="0.25">
      <c r="A223" s="1" t="s">
        <v>16</v>
      </c>
      <c r="B223" s="1" t="str">
        <f t="shared" si="23"/>
        <v>8/15</v>
      </c>
      <c r="C223" s="1" t="str">
        <f t="shared" si="23"/>
        <v>2/7</v>
      </c>
      <c r="D223" s="1" t="str">
        <f t="shared" si="23"/>
        <v/>
      </c>
      <c r="E223" s="1" t="str">
        <f t="shared" si="23"/>
        <v>10/17</v>
      </c>
      <c r="F223" s="1" t="str">
        <f t="shared" si="23"/>
        <v>11/16</v>
      </c>
      <c r="G223" s="1" t="str">
        <f t="shared" si="23"/>
        <v>12/21</v>
      </c>
      <c r="H223" s="1" t="str">
        <f t="shared" si="23"/>
        <v>9/16</v>
      </c>
      <c r="I223" s="1" t="str">
        <f t="shared" si="23"/>
        <v>6/10</v>
      </c>
      <c r="J223" s="1" t="str">
        <f t="shared" si="23"/>
        <v>16/26</v>
      </c>
      <c r="K223" s="1" t="str">
        <f t="shared" si="23"/>
        <v>6/12</v>
      </c>
      <c r="L223" s="1" t="str">
        <f t="shared" si="23"/>
        <v>5/9</v>
      </c>
      <c r="M223" s="1" t="str">
        <f t="shared" si="23"/>
        <v>6/12</v>
      </c>
      <c r="N223" s="1" t="str">
        <f t="shared" si="23"/>
        <v>3/6</v>
      </c>
      <c r="O223" s="1" t="str">
        <f t="shared" si="23"/>
        <v>2/3</v>
      </c>
      <c r="P223" s="1" t="str">
        <f t="shared" si="23"/>
        <v>7/10</v>
      </c>
      <c r="Q223" s="1" t="str">
        <f t="shared" si="23"/>
        <v/>
      </c>
    </row>
    <row r="224" spans="1:17" x14ac:dyDescent="0.25">
      <c r="A224" s="1" t="s">
        <v>22</v>
      </c>
      <c r="B224" s="1" t="str">
        <f t="shared" si="23"/>
        <v>10/18</v>
      </c>
      <c r="C224" s="1" t="str">
        <f t="shared" si="23"/>
        <v>2/2</v>
      </c>
      <c r="D224" s="1" t="str">
        <f t="shared" si="23"/>
        <v>7/17</v>
      </c>
      <c r="E224" s="1" t="str">
        <f t="shared" si="23"/>
        <v/>
      </c>
      <c r="F224" s="1" t="str">
        <f t="shared" si="23"/>
        <v>11/15</v>
      </c>
      <c r="G224" s="1" t="str">
        <f t="shared" si="23"/>
        <v>8/14</v>
      </c>
      <c r="H224" s="1" t="str">
        <f t="shared" si="23"/>
        <v>10/17</v>
      </c>
      <c r="I224" s="1" t="str">
        <f t="shared" si="23"/>
        <v>7/16</v>
      </c>
      <c r="J224" s="1" t="str">
        <f t="shared" si="23"/>
        <v>10/20</v>
      </c>
      <c r="K224" s="1" t="str">
        <f t="shared" si="23"/>
        <v>7/12</v>
      </c>
      <c r="L224" s="1" t="str">
        <f t="shared" si="23"/>
        <v>6/10</v>
      </c>
      <c r="M224" s="1" t="str">
        <f t="shared" si="23"/>
        <v>4/7</v>
      </c>
      <c r="N224" s="1" t="str">
        <f t="shared" si="23"/>
        <v>2/9</v>
      </c>
      <c r="O224" s="1" t="str">
        <f t="shared" si="23"/>
        <v>1/5</v>
      </c>
      <c r="P224" s="1" t="str">
        <f t="shared" si="23"/>
        <v>8/11</v>
      </c>
      <c r="Q224" s="1" t="str">
        <f t="shared" si="23"/>
        <v>0/2</v>
      </c>
    </row>
    <row r="225" spans="1:17" x14ac:dyDescent="0.25">
      <c r="A225" s="1" t="s">
        <v>4</v>
      </c>
      <c r="B225" s="1" t="str">
        <f t="shared" si="23"/>
        <v>11/23</v>
      </c>
      <c r="C225" s="1" t="str">
        <f t="shared" si="23"/>
        <v>2/7</v>
      </c>
      <c r="D225" s="1" t="str">
        <f t="shared" si="23"/>
        <v>5/16</v>
      </c>
      <c r="E225" s="1" t="str">
        <f t="shared" si="23"/>
        <v>4/15</v>
      </c>
      <c r="F225" s="1" t="str">
        <f t="shared" si="23"/>
        <v/>
      </c>
      <c r="G225" s="1" t="str">
        <f t="shared" si="23"/>
        <v>10/20</v>
      </c>
      <c r="H225" s="1" t="str">
        <f t="shared" si="23"/>
        <v>8/18</v>
      </c>
      <c r="I225" s="1" t="str">
        <f t="shared" si="23"/>
        <v>6/18</v>
      </c>
      <c r="J225" s="1" t="str">
        <f t="shared" si="23"/>
        <v>13/32</v>
      </c>
      <c r="K225" s="1" t="str">
        <f t="shared" si="23"/>
        <v>6/15</v>
      </c>
      <c r="L225" s="1" t="str">
        <f t="shared" si="23"/>
        <v>9/17</v>
      </c>
      <c r="M225" s="1" t="str">
        <f t="shared" si="23"/>
        <v>3/10</v>
      </c>
      <c r="N225" s="1" t="str">
        <f t="shared" si="23"/>
        <v>2/11</v>
      </c>
      <c r="O225" s="1" t="str">
        <f t="shared" si="23"/>
        <v>1/5</v>
      </c>
      <c r="P225" s="1" t="str">
        <f t="shared" si="23"/>
        <v>12/18</v>
      </c>
      <c r="Q225" s="1" t="str">
        <f t="shared" si="23"/>
        <v>0/4</v>
      </c>
    </row>
    <row r="226" spans="1:17" x14ac:dyDescent="0.25">
      <c r="A226" s="1" t="s">
        <v>6</v>
      </c>
      <c r="B226" s="1" t="str">
        <f t="shared" si="23"/>
        <v>8/18</v>
      </c>
      <c r="C226" s="1" t="str">
        <f t="shared" si="23"/>
        <v>2/4</v>
      </c>
      <c r="D226" s="1" t="str">
        <f t="shared" si="23"/>
        <v>9/21</v>
      </c>
      <c r="E226" s="1" t="str">
        <f t="shared" si="23"/>
        <v>6/14</v>
      </c>
      <c r="F226" s="1" t="str">
        <f t="shared" si="23"/>
        <v>10/20</v>
      </c>
      <c r="G226" s="1" t="str">
        <f t="shared" si="23"/>
        <v/>
      </c>
      <c r="H226" s="1" t="str">
        <f t="shared" si="23"/>
        <v>6/15</v>
      </c>
      <c r="I226" s="1" t="str">
        <f t="shared" si="23"/>
        <v>4/14</v>
      </c>
      <c r="J226" s="1" t="str">
        <f t="shared" si="23"/>
        <v>9/21</v>
      </c>
      <c r="K226" s="1" t="str">
        <f t="shared" si="23"/>
        <v>3/8</v>
      </c>
      <c r="L226" s="1" t="str">
        <f t="shared" si="23"/>
        <v>7/14</v>
      </c>
      <c r="M226" s="1" t="str">
        <f t="shared" si="23"/>
        <v>3/10</v>
      </c>
      <c r="N226" s="1" t="str">
        <f t="shared" si="23"/>
        <v>3/10</v>
      </c>
      <c r="O226" s="1" t="str">
        <f t="shared" si="23"/>
        <v>1/2</v>
      </c>
      <c r="P226" s="1" t="str">
        <f t="shared" si="23"/>
        <v>10/15</v>
      </c>
      <c r="Q226" s="1" t="str">
        <f t="shared" si="23"/>
        <v>0/4</v>
      </c>
    </row>
    <row r="227" spans="1:17" x14ac:dyDescent="0.25">
      <c r="A227" s="1" t="s">
        <v>5</v>
      </c>
      <c r="B227" s="1" t="str">
        <f t="shared" si="23"/>
        <v>15/26</v>
      </c>
      <c r="C227" s="1" t="str">
        <f t="shared" si="23"/>
        <v>2/5</v>
      </c>
      <c r="D227" s="1" t="str">
        <f t="shared" si="23"/>
        <v>7/16</v>
      </c>
      <c r="E227" s="1" t="str">
        <f t="shared" si="23"/>
        <v>7/17</v>
      </c>
      <c r="F227" s="1" t="str">
        <f t="shared" si="23"/>
        <v>10/18</v>
      </c>
      <c r="G227" s="1" t="str">
        <f t="shared" si="23"/>
        <v>9/15</v>
      </c>
      <c r="H227" s="1" t="str">
        <f t="shared" si="23"/>
        <v/>
      </c>
      <c r="I227" s="1" t="str">
        <f t="shared" si="23"/>
        <v>8/17</v>
      </c>
      <c r="J227" s="1" t="str">
        <f t="shared" si="23"/>
        <v>14/29</v>
      </c>
      <c r="K227" s="1" t="str">
        <f t="shared" si="23"/>
        <v>5/12</v>
      </c>
      <c r="L227" s="1" t="str">
        <f t="shared" si="23"/>
        <v>10/18</v>
      </c>
      <c r="M227" s="1" t="str">
        <f t="shared" si="23"/>
        <v>3/11</v>
      </c>
      <c r="N227" s="1" t="str">
        <f t="shared" si="23"/>
        <v>5/13</v>
      </c>
      <c r="O227" s="1" t="str">
        <f t="shared" si="23"/>
        <v>2/5</v>
      </c>
      <c r="P227" s="1" t="str">
        <f t="shared" si="23"/>
        <v>13/19</v>
      </c>
      <c r="Q227" s="1" t="str">
        <f t="shared" si="23"/>
        <v>0/4</v>
      </c>
    </row>
    <row r="228" spans="1:17" x14ac:dyDescent="0.25">
      <c r="A228" s="1" t="s">
        <v>8</v>
      </c>
      <c r="B228" s="1" t="str">
        <f t="shared" si="23"/>
        <v>12/21</v>
      </c>
      <c r="C228" s="1" t="str">
        <f t="shared" si="23"/>
        <v>1/3</v>
      </c>
      <c r="D228" s="1" t="str">
        <f t="shared" si="23"/>
        <v>4/10</v>
      </c>
      <c r="E228" s="1" t="str">
        <f t="shared" si="23"/>
        <v>9/16</v>
      </c>
      <c r="F228" s="1" t="str">
        <f t="shared" si="23"/>
        <v>12/18</v>
      </c>
      <c r="G228" s="1" t="str">
        <f t="shared" si="23"/>
        <v>10/14</v>
      </c>
      <c r="H228" s="1" t="str">
        <f t="shared" si="23"/>
        <v>9/17</v>
      </c>
      <c r="I228" s="1" t="str">
        <f t="shared" si="23"/>
        <v/>
      </c>
      <c r="J228" s="1" t="str">
        <f t="shared" si="23"/>
        <v>5/12</v>
      </c>
      <c r="K228" s="1" t="str">
        <f t="shared" si="23"/>
        <v>1/5</v>
      </c>
      <c r="L228" s="1" t="str">
        <f t="shared" si="23"/>
        <v>2/4</v>
      </c>
      <c r="M228" s="1" t="str">
        <f t="shared" si="23"/>
        <v>2/8</v>
      </c>
      <c r="N228" s="1" t="str">
        <f t="shared" si="23"/>
        <v>2/3</v>
      </c>
      <c r="O228" s="1" t="str">
        <f t="shared" si="23"/>
        <v>0/1</v>
      </c>
      <c r="P228" s="1" t="str">
        <f t="shared" si="23"/>
        <v>10/14</v>
      </c>
      <c r="Q228" s="1" t="str">
        <f t="shared" si="23"/>
        <v/>
      </c>
    </row>
    <row r="229" spans="1:17" x14ac:dyDescent="0.25">
      <c r="A229" s="1" t="s">
        <v>12</v>
      </c>
      <c r="B229" s="1" t="str">
        <f t="shared" si="23"/>
        <v>9/15</v>
      </c>
      <c r="C229" s="1" t="str">
        <f t="shared" si="23"/>
        <v>1/4</v>
      </c>
      <c r="D229" s="1" t="str">
        <f t="shared" si="23"/>
        <v>10/26</v>
      </c>
      <c r="E229" s="1" t="str">
        <f t="shared" si="23"/>
        <v>10/20</v>
      </c>
      <c r="F229" s="1" t="str">
        <f t="shared" si="23"/>
        <v>19/32</v>
      </c>
      <c r="G229" s="1" t="str">
        <f t="shared" si="23"/>
        <v>12/21</v>
      </c>
      <c r="H229" s="1" t="str">
        <f t="shared" si="23"/>
        <v>15/29</v>
      </c>
      <c r="I229" s="1" t="str">
        <f t="shared" si="23"/>
        <v>7/12</v>
      </c>
      <c r="J229" s="1" t="str">
        <f t="shared" si="23"/>
        <v/>
      </c>
      <c r="K229" s="1" t="str">
        <f t="shared" si="23"/>
        <v>8/17</v>
      </c>
      <c r="L229" s="1" t="str">
        <f t="shared" si="23"/>
        <v>4/8</v>
      </c>
      <c r="M229" s="1" t="str">
        <f t="shared" si="23"/>
        <v>3/13</v>
      </c>
      <c r="N229" s="1" t="str">
        <f t="shared" si="23"/>
        <v>6/12</v>
      </c>
      <c r="O229" s="1" t="str">
        <f t="shared" si="23"/>
        <v>3/5</v>
      </c>
      <c r="P229" s="1" t="str">
        <f t="shared" si="23"/>
        <v>9/12</v>
      </c>
      <c r="Q229" s="1" t="str">
        <f t="shared" si="23"/>
        <v/>
      </c>
    </row>
    <row r="230" spans="1:17" x14ac:dyDescent="0.25">
      <c r="A230" s="2" t="s">
        <v>23</v>
      </c>
      <c r="B230" s="1" t="str">
        <f t="shared" si="23"/>
        <v>9/14</v>
      </c>
      <c r="C230" s="1" t="str">
        <f t="shared" si="23"/>
        <v>1/3</v>
      </c>
      <c r="D230" s="1" t="str">
        <f t="shared" si="23"/>
        <v>6/12</v>
      </c>
      <c r="E230" s="1" t="str">
        <f t="shared" si="23"/>
        <v>5/12</v>
      </c>
      <c r="F230" s="1" t="str">
        <f t="shared" si="23"/>
        <v>9/15</v>
      </c>
      <c r="G230" s="1" t="str">
        <f t="shared" si="23"/>
        <v>5/8</v>
      </c>
      <c r="H230" s="1" t="str">
        <f t="shared" si="23"/>
        <v>7/12</v>
      </c>
      <c r="I230" s="1" t="str">
        <f t="shared" si="23"/>
        <v>4/5</v>
      </c>
      <c r="J230" s="1" t="str">
        <f t="shared" si="23"/>
        <v>9/17</v>
      </c>
      <c r="K230" s="1" t="str">
        <f t="shared" si="23"/>
        <v/>
      </c>
      <c r="L230" s="1" t="str">
        <f t="shared" si="23"/>
        <v>4/7</v>
      </c>
      <c r="M230" s="1" t="str">
        <f t="shared" si="23"/>
        <v>3/6</v>
      </c>
      <c r="N230" s="1" t="str">
        <f t="shared" si="23"/>
        <v>1/2</v>
      </c>
      <c r="O230" s="1" t="str">
        <f t="shared" si="23"/>
        <v/>
      </c>
      <c r="P230" s="1" t="str">
        <f t="shared" si="23"/>
        <v>10/15</v>
      </c>
      <c r="Q230" s="1" t="str">
        <f t="shared" si="23"/>
        <v/>
      </c>
    </row>
    <row r="231" spans="1:17" x14ac:dyDescent="0.25">
      <c r="A231" s="2" t="s">
        <v>11</v>
      </c>
      <c r="B231" s="1" t="str">
        <f t="shared" si="23"/>
        <v>5/9</v>
      </c>
      <c r="C231" s="1" t="str">
        <f t="shared" si="23"/>
        <v>0/1</v>
      </c>
      <c r="D231" s="1" t="str">
        <f t="shared" si="23"/>
        <v>4/9</v>
      </c>
      <c r="E231" s="1" t="str">
        <f t="shared" si="23"/>
        <v>4/10</v>
      </c>
      <c r="F231" s="1" t="str">
        <f t="shared" si="23"/>
        <v>8/17</v>
      </c>
      <c r="G231" s="1" t="str">
        <f t="shared" si="23"/>
        <v>7/14</v>
      </c>
      <c r="H231" s="1" t="str">
        <f t="shared" si="23"/>
        <v>8/18</v>
      </c>
      <c r="I231" s="1" t="str">
        <f t="shared" si="23"/>
        <v>2/4</v>
      </c>
      <c r="J231" s="1" t="str">
        <f t="shared" si="23"/>
        <v>4/8</v>
      </c>
      <c r="K231" s="1" t="str">
        <f t="shared" si="23"/>
        <v>3/7</v>
      </c>
      <c r="L231" s="1" t="str">
        <f t="shared" si="23"/>
        <v/>
      </c>
      <c r="M231" s="1" t="str">
        <f t="shared" si="23"/>
        <v>2/7</v>
      </c>
      <c r="N231" s="1" t="str">
        <f t="shared" si="23"/>
        <v>1/1</v>
      </c>
      <c r="O231" s="1" t="str">
        <f t="shared" si="23"/>
        <v>1/1</v>
      </c>
      <c r="P231" s="1" t="str">
        <f t="shared" si="23"/>
        <v>5/9</v>
      </c>
      <c r="Q231" s="1" t="str">
        <f t="shared" si="23"/>
        <v/>
      </c>
    </row>
    <row r="232" spans="1:17" x14ac:dyDescent="0.25">
      <c r="A232" s="1" t="s">
        <v>9</v>
      </c>
      <c r="B232" s="1" t="str">
        <f t="shared" si="23"/>
        <v>9/14</v>
      </c>
      <c r="C232" s="1" t="str">
        <f t="shared" si="23"/>
        <v/>
      </c>
      <c r="D232" s="1" t="str">
        <f t="shared" si="23"/>
        <v>6/12</v>
      </c>
      <c r="E232" s="1" t="str">
        <f t="shared" si="23"/>
        <v>3/7</v>
      </c>
      <c r="F232" s="1" t="str">
        <f t="shared" si="23"/>
        <v>7/10</v>
      </c>
      <c r="G232" s="1" t="str">
        <f t="shared" si="23"/>
        <v>7/10</v>
      </c>
      <c r="H232" s="1" t="str">
        <f t="shared" si="23"/>
        <v>8/11</v>
      </c>
      <c r="I232" s="1" t="str">
        <f t="shared" si="23"/>
        <v>6/8</v>
      </c>
      <c r="J232" s="1" t="str">
        <f t="shared" si="23"/>
        <v>10/13</v>
      </c>
      <c r="K232" s="1" t="str">
        <f t="shared" si="23"/>
        <v>3/6</v>
      </c>
      <c r="L232" s="1" t="str">
        <f t="shared" si="23"/>
        <v>5/7</v>
      </c>
      <c r="M232" s="1" t="str">
        <f t="shared" si="23"/>
        <v/>
      </c>
      <c r="N232" s="1" t="str">
        <f t="shared" si="23"/>
        <v>1/4</v>
      </c>
      <c r="O232" s="1" t="str">
        <f t="shared" si="23"/>
        <v>1/2</v>
      </c>
      <c r="P232" s="1" t="str">
        <f t="shared" si="23"/>
        <v>12/13</v>
      </c>
      <c r="Q232" s="1" t="str">
        <f t="shared" si="23"/>
        <v/>
      </c>
    </row>
    <row r="233" spans="1:17" x14ac:dyDescent="0.25">
      <c r="A233" s="1" t="s">
        <v>24</v>
      </c>
      <c r="B233" s="1" t="str">
        <f t="shared" si="23"/>
        <v>8/14</v>
      </c>
      <c r="C233" s="1" t="str">
        <f t="shared" si="23"/>
        <v/>
      </c>
      <c r="D233" s="1" t="str">
        <f t="shared" si="23"/>
        <v>3/6</v>
      </c>
      <c r="E233" s="1" t="str">
        <f t="shared" si="23"/>
        <v>7/9</v>
      </c>
      <c r="F233" s="1" t="str">
        <f t="shared" si="23"/>
        <v>9/11</v>
      </c>
      <c r="G233" s="1" t="str">
        <f t="shared" si="23"/>
        <v>7/10</v>
      </c>
      <c r="H233" s="1" t="str">
        <f t="shared" si="23"/>
        <v>8/13</v>
      </c>
      <c r="I233" s="1" t="str">
        <f t="shared" si="23"/>
        <v>1/3</v>
      </c>
      <c r="J233" s="1" t="str">
        <f t="shared" si="23"/>
        <v>6/12</v>
      </c>
      <c r="K233" s="1" t="str">
        <f t="shared" si="23"/>
        <v>1/2</v>
      </c>
      <c r="L233" s="1" t="str">
        <f t="shared" si="23"/>
        <v>0/1</v>
      </c>
      <c r="M233" s="1" t="str">
        <f t="shared" si="23"/>
        <v>3/4</v>
      </c>
      <c r="N233" s="1" t="str">
        <f t="shared" si="23"/>
        <v/>
      </c>
      <c r="O233" s="1" t="str">
        <f t="shared" si="23"/>
        <v/>
      </c>
      <c r="P233" s="1" t="str">
        <f t="shared" si="23"/>
        <v>6/6</v>
      </c>
      <c r="Q233" s="1" t="str">
        <f t="shared" si="23"/>
        <v>0/1</v>
      </c>
    </row>
    <row r="234" spans="1:17" x14ac:dyDescent="0.25">
      <c r="A234" s="1" t="s">
        <v>26</v>
      </c>
      <c r="B234" s="1" t="str">
        <f t="shared" si="23"/>
        <v>1/4</v>
      </c>
      <c r="C234" s="1" t="str">
        <f t="shared" si="23"/>
        <v/>
      </c>
      <c r="D234" s="1" t="str">
        <f t="shared" si="23"/>
        <v>1/3</v>
      </c>
      <c r="E234" s="1" t="str">
        <f t="shared" si="23"/>
        <v>4/5</v>
      </c>
      <c r="F234" s="1" t="str">
        <f t="shared" si="23"/>
        <v>4/5</v>
      </c>
      <c r="G234" s="1" t="str">
        <f t="shared" si="23"/>
        <v>1/2</v>
      </c>
      <c r="H234" s="1" t="str">
        <f t="shared" si="23"/>
        <v>3/5</v>
      </c>
      <c r="I234" s="1" t="str">
        <f t="shared" si="23"/>
        <v>1/1</v>
      </c>
      <c r="J234" s="1" t="str">
        <f t="shared" si="23"/>
        <v>2/5</v>
      </c>
      <c r="K234" s="1" t="str">
        <f t="shared" si="23"/>
        <v/>
      </c>
      <c r="L234" s="1" t="str">
        <f t="shared" si="23"/>
        <v>0/1</v>
      </c>
      <c r="M234" s="1" t="str">
        <f t="shared" si="23"/>
        <v>1/2</v>
      </c>
      <c r="N234" s="1" t="str">
        <f t="shared" si="23"/>
        <v/>
      </c>
      <c r="O234" s="1" t="str">
        <f t="shared" si="23"/>
        <v/>
      </c>
      <c r="P234" s="1" t="str">
        <f t="shared" si="23"/>
        <v>1/1</v>
      </c>
      <c r="Q234" s="1" t="str">
        <f t="shared" si="23"/>
        <v/>
      </c>
    </row>
    <row r="235" spans="1:17" x14ac:dyDescent="0.25">
      <c r="A235" s="1" t="s">
        <v>7</v>
      </c>
      <c r="B235" s="1" t="str">
        <f t="shared" si="23"/>
        <v>3/8</v>
      </c>
      <c r="C235" s="1" t="str">
        <f t="shared" si="23"/>
        <v>1/3</v>
      </c>
      <c r="D235" s="1" t="str">
        <f t="shared" si="23"/>
        <v>3/10</v>
      </c>
      <c r="E235" s="1" t="str">
        <f t="shared" si="23"/>
        <v>3/11</v>
      </c>
      <c r="F235" s="1" t="str">
        <f t="shared" si="23"/>
        <v>6/18</v>
      </c>
      <c r="G235" s="1" t="str">
        <f t="shared" si="23"/>
        <v>5/15</v>
      </c>
      <c r="H235" s="1" t="str">
        <f t="shared" si="23"/>
        <v>6/19</v>
      </c>
      <c r="I235" s="1" t="str">
        <f t="shared" si="23"/>
        <v>4/14</v>
      </c>
      <c r="J235" s="1" t="str">
        <f t="shared" si="23"/>
        <v>3/12</v>
      </c>
      <c r="K235" s="1" t="str">
        <f t="shared" si="23"/>
        <v>5/15</v>
      </c>
      <c r="L235" s="1" t="str">
        <f t="shared" si="23"/>
        <v>4/9</v>
      </c>
      <c r="M235" s="1" t="str">
        <f t="shared" si="23"/>
        <v>1/13</v>
      </c>
      <c r="N235" s="1" t="str">
        <f t="shared" si="23"/>
        <v>0/6</v>
      </c>
      <c r="O235" s="1" t="str">
        <f t="shared" si="23"/>
        <v>0/1</v>
      </c>
      <c r="P235" s="1" t="str">
        <f t="shared" si="23"/>
        <v/>
      </c>
      <c r="Q235" s="1" t="str">
        <f t="shared" si="23"/>
        <v>0/2</v>
      </c>
    </row>
    <row r="236" spans="1:17" x14ac:dyDescent="0.25">
      <c r="A236" s="1" t="s">
        <v>10</v>
      </c>
      <c r="B236" s="1" t="str">
        <f t="shared" si="23"/>
        <v>3/3</v>
      </c>
      <c r="C236" s="1" t="str">
        <f t="shared" si="23"/>
        <v/>
      </c>
      <c r="D236" s="1" t="str">
        <f t="shared" si="23"/>
        <v/>
      </c>
      <c r="E236" s="1" t="str">
        <f t="shared" si="23"/>
        <v>2/2</v>
      </c>
      <c r="F236" s="1" t="str">
        <f t="shared" si="23"/>
        <v>4/4</v>
      </c>
      <c r="G236" s="1" t="str">
        <f t="shared" si="23"/>
        <v>4/4</v>
      </c>
      <c r="H236" s="1" t="str">
        <f t="shared" si="23"/>
        <v>4/4</v>
      </c>
      <c r="I236" s="1" t="str">
        <f t="shared" si="23"/>
        <v/>
      </c>
      <c r="J236" s="1" t="str">
        <f t="shared" si="23"/>
        <v/>
      </c>
      <c r="K236" s="1" t="str">
        <f t="shared" si="23"/>
        <v/>
      </c>
      <c r="L236" s="1" t="str">
        <f t="shared" si="23"/>
        <v/>
      </c>
      <c r="M236" s="1" t="str">
        <f t="shared" si="23"/>
        <v/>
      </c>
      <c r="N236" s="1" t="str">
        <f t="shared" si="23"/>
        <v>1/1</v>
      </c>
      <c r="O236" s="1" t="str">
        <f t="shared" si="23"/>
        <v/>
      </c>
      <c r="P236" s="1" t="str">
        <f t="shared" si="23"/>
        <v>2/2</v>
      </c>
      <c r="Q236" s="1" t="str">
        <f t="shared" si="23"/>
        <v/>
      </c>
    </row>
    <row r="239" spans="1:17" x14ac:dyDescent="0.25">
      <c r="A239" s="3" t="s">
        <v>146</v>
      </c>
      <c r="D239" s="1" t="s">
        <v>148</v>
      </c>
      <c r="E239" s="10">
        <f ca="1">TODAY()</f>
        <v>44916</v>
      </c>
    </row>
    <row r="240" spans="1:17" s="11" customFormat="1" x14ac:dyDescent="0.25">
      <c r="B240" s="11">
        <v>44837</v>
      </c>
      <c r="C240" s="11">
        <v>44844</v>
      </c>
      <c r="D240" s="11">
        <v>44851</v>
      </c>
      <c r="E240" s="11">
        <v>44858</v>
      </c>
      <c r="F240" s="11">
        <v>44865</v>
      </c>
      <c r="G240" s="11">
        <v>44872</v>
      </c>
      <c r="H240" s="11">
        <v>44879</v>
      </c>
      <c r="I240" s="11">
        <v>44886</v>
      </c>
      <c r="J240" s="11">
        <v>44893</v>
      </c>
      <c r="K240" s="11">
        <v>44900</v>
      </c>
      <c r="L240" s="11">
        <v>44907</v>
      </c>
      <c r="M240" s="11">
        <v>44914</v>
      </c>
    </row>
    <row r="241" spans="1:13" s="7" customFormat="1" x14ac:dyDescent="0.25">
      <c r="A241" s="1" t="s">
        <v>3</v>
      </c>
      <c r="D241" s="7">
        <v>0.42857142857142855</v>
      </c>
      <c r="F241" s="7">
        <v>0</v>
      </c>
      <c r="G241" s="7">
        <v>0.4</v>
      </c>
      <c r="H241" s="7">
        <v>0.83333333333333337</v>
      </c>
      <c r="I241" s="7">
        <v>0.75</v>
      </c>
      <c r="J241" s="7">
        <v>0.5</v>
      </c>
      <c r="K241" s="7">
        <v>0.75</v>
      </c>
      <c r="L241" s="7">
        <v>0.25</v>
      </c>
      <c r="M241" s="7">
        <v>0.5</v>
      </c>
    </row>
    <row r="242" spans="1:13" s="7" customFormat="1" x14ac:dyDescent="0.25">
      <c r="A242" s="1" t="s">
        <v>18</v>
      </c>
      <c r="B242" s="14"/>
      <c r="C242" s="14"/>
      <c r="D242" s="14"/>
      <c r="E242" s="14"/>
      <c r="F242" s="14"/>
      <c r="H242" s="7">
        <v>0</v>
      </c>
      <c r="J242" s="7">
        <v>0.33333333333333331</v>
      </c>
      <c r="K242" s="7">
        <v>0.33333333333333331</v>
      </c>
      <c r="L242" s="7">
        <v>0.5</v>
      </c>
    </row>
    <row r="243" spans="1:13" s="7" customFormat="1" x14ac:dyDescent="0.25">
      <c r="A243" s="1" t="s">
        <v>16</v>
      </c>
      <c r="B243" s="14"/>
      <c r="C243" s="14">
        <v>0</v>
      </c>
      <c r="D243" s="14">
        <v>0.33333333333333331</v>
      </c>
      <c r="E243" s="14"/>
      <c r="F243" s="14">
        <v>1</v>
      </c>
      <c r="G243" s="7">
        <v>0.25</v>
      </c>
      <c r="H243" s="9">
        <v>0.25</v>
      </c>
      <c r="I243" s="7">
        <v>0.66666666666666663</v>
      </c>
      <c r="J243" s="7">
        <v>0.5</v>
      </c>
      <c r="K243" s="7">
        <v>1</v>
      </c>
      <c r="L243" s="7">
        <v>0.25</v>
      </c>
      <c r="M243" s="7">
        <v>1</v>
      </c>
    </row>
    <row r="244" spans="1:13" s="7" customFormat="1" x14ac:dyDescent="0.25">
      <c r="A244" s="1" t="s">
        <v>22</v>
      </c>
      <c r="C244" s="7">
        <v>0.5</v>
      </c>
      <c r="D244" s="7">
        <v>0.625</v>
      </c>
      <c r="F244" s="7">
        <v>0</v>
      </c>
      <c r="G244" s="7">
        <v>1</v>
      </c>
      <c r="H244" s="7">
        <v>0.44444444444444442</v>
      </c>
      <c r="J244" s="7">
        <v>0.33333333333333331</v>
      </c>
      <c r="K244" s="7">
        <v>0</v>
      </c>
      <c r="L244" s="7">
        <v>0.33333333333333331</v>
      </c>
      <c r="M244" s="7">
        <v>0.5</v>
      </c>
    </row>
    <row r="245" spans="1:13" s="7" customFormat="1" x14ac:dyDescent="0.25">
      <c r="A245" s="1" t="s">
        <v>4</v>
      </c>
      <c r="C245" s="7">
        <v>0.5</v>
      </c>
      <c r="D245" s="7">
        <v>0.8571428571428571</v>
      </c>
      <c r="F245" s="7">
        <v>1</v>
      </c>
      <c r="G245" s="7">
        <v>0.75</v>
      </c>
      <c r="H245" s="7">
        <v>0.66666666666666663</v>
      </c>
      <c r="I245" s="7">
        <v>0</v>
      </c>
      <c r="J245" s="7">
        <v>0.66666666666666663</v>
      </c>
      <c r="K245" s="7">
        <v>0.375</v>
      </c>
      <c r="L245" s="7">
        <v>0.75</v>
      </c>
      <c r="M245" s="7">
        <v>0.5</v>
      </c>
    </row>
    <row r="246" spans="1:13" s="7" customFormat="1" x14ac:dyDescent="0.25">
      <c r="A246" s="1" t="s">
        <v>6</v>
      </c>
      <c r="C246" s="7">
        <v>0</v>
      </c>
      <c r="D246" s="7">
        <v>0.5</v>
      </c>
      <c r="F246" s="7">
        <v>0</v>
      </c>
      <c r="G246" s="7">
        <v>0.5</v>
      </c>
      <c r="H246" s="7">
        <v>0.55555555555555558</v>
      </c>
      <c r="I246" s="7">
        <v>0.33333333333333331</v>
      </c>
      <c r="J246" s="7">
        <v>0.83333333333333337</v>
      </c>
      <c r="K246" s="7">
        <v>0.8</v>
      </c>
      <c r="L246" s="7">
        <v>1</v>
      </c>
      <c r="M246" s="7">
        <v>0.5</v>
      </c>
    </row>
    <row r="247" spans="1:13" s="7" customFormat="1" x14ac:dyDescent="0.25">
      <c r="A247" s="1" t="s">
        <v>5</v>
      </c>
      <c r="C247" s="7">
        <v>0.5</v>
      </c>
      <c r="D247" s="7">
        <v>0.33333333333333331</v>
      </c>
      <c r="F247" s="7">
        <v>1</v>
      </c>
      <c r="G247" s="7">
        <v>0.4</v>
      </c>
      <c r="H247" s="7">
        <v>0.66666666666666663</v>
      </c>
      <c r="I247" s="7">
        <v>0.25</v>
      </c>
      <c r="J247" s="7">
        <v>0.66666666666666663</v>
      </c>
      <c r="K247" s="7">
        <v>0.5</v>
      </c>
      <c r="L247" s="7">
        <v>0.5</v>
      </c>
      <c r="M247" s="7">
        <v>0.5</v>
      </c>
    </row>
    <row r="248" spans="1:13" s="7" customFormat="1" x14ac:dyDescent="0.25">
      <c r="A248" s="1" t="s">
        <v>8</v>
      </c>
      <c r="D248" s="7">
        <v>0.4</v>
      </c>
      <c r="G248" s="7">
        <v>0.6</v>
      </c>
      <c r="H248" s="7">
        <v>0.33333333333333331</v>
      </c>
      <c r="I248" s="7">
        <v>0.5</v>
      </c>
      <c r="J248" s="7">
        <v>0</v>
      </c>
      <c r="K248" s="7">
        <v>0.42857142857142855</v>
      </c>
      <c r="L248" s="7">
        <v>1</v>
      </c>
    </row>
    <row r="249" spans="1:13" s="7" customFormat="1" x14ac:dyDescent="0.25">
      <c r="A249" s="1" t="s">
        <v>12</v>
      </c>
      <c r="C249" s="7">
        <v>1</v>
      </c>
      <c r="D249" s="7">
        <v>0.5</v>
      </c>
      <c r="F249" s="7">
        <v>0</v>
      </c>
      <c r="G249" s="7">
        <v>0.4</v>
      </c>
      <c r="H249" s="7">
        <v>0.66666666666666663</v>
      </c>
      <c r="I249" s="7">
        <v>0.5</v>
      </c>
      <c r="J249" s="7">
        <v>0.33333333333333331</v>
      </c>
      <c r="K249" s="7">
        <v>0.5</v>
      </c>
      <c r="L249" s="7">
        <v>0.5</v>
      </c>
      <c r="M249" s="7">
        <v>0</v>
      </c>
    </row>
    <row r="250" spans="1:13" s="7" customFormat="1" x14ac:dyDescent="0.25">
      <c r="A250" s="2" t="s">
        <v>23</v>
      </c>
      <c r="C250" s="7">
        <v>0.5</v>
      </c>
      <c r="G250" s="7">
        <v>1</v>
      </c>
      <c r="H250" s="7">
        <v>0.33333333333333331</v>
      </c>
      <c r="I250" s="7">
        <v>0.5</v>
      </c>
      <c r="J250" s="7">
        <v>0.33333333333333331</v>
      </c>
      <c r="K250" s="7">
        <v>0.25</v>
      </c>
      <c r="L250" s="7">
        <v>0.5</v>
      </c>
      <c r="M250" s="7">
        <v>1</v>
      </c>
    </row>
    <row r="251" spans="1:13" s="7" customFormat="1" x14ac:dyDescent="0.25">
      <c r="A251" s="2" t="s">
        <v>11</v>
      </c>
      <c r="C251" s="7">
        <v>0.5</v>
      </c>
      <c r="D251" s="7">
        <v>0.5</v>
      </c>
      <c r="G251" s="7">
        <v>0.5</v>
      </c>
      <c r="H251" s="7">
        <v>0.25</v>
      </c>
      <c r="I251" s="7">
        <v>1</v>
      </c>
      <c r="J251" s="7">
        <v>0.66666666666666663</v>
      </c>
      <c r="K251" s="7">
        <v>0.4</v>
      </c>
      <c r="L251" s="7">
        <v>1</v>
      </c>
      <c r="M251" s="7">
        <v>1</v>
      </c>
    </row>
    <row r="252" spans="1:13" s="7" customFormat="1" x14ac:dyDescent="0.25">
      <c r="A252" s="1" t="s">
        <v>9</v>
      </c>
      <c r="C252" s="7">
        <v>0.5</v>
      </c>
      <c r="D252" s="7">
        <v>0.66666666666666663</v>
      </c>
      <c r="F252" s="7">
        <v>1</v>
      </c>
      <c r="H252" s="7">
        <v>0.4</v>
      </c>
      <c r="I252" s="7">
        <v>0</v>
      </c>
      <c r="J252" s="7">
        <v>1</v>
      </c>
      <c r="K252" s="7">
        <v>0.14285714285714285</v>
      </c>
      <c r="L252" s="7">
        <v>0</v>
      </c>
    </row>
    <row r="253" spans="1:13" s="7" customFormat="1" x14ac:dyDescent="0.25">
      <c r="A253" s="1" t="s">
        <v>24</v>
      </c>
      <c r="D253" s="7">
        <v>0.33333333333333331</v>
      </c>
      <c r="F253" s="7">
        <v>0</v>
      </c>
      <c r="G253" s="7">
        <v>0.6</v>
      </c>
      <c r="H253" s="7">
        <v>0</v>
      </c>
      <c r="I253" s="7">
        <v>0.5</v>
      </c>
      <c r="J253" s="7">
        <v>0.5</v>
      </c>
    </row>
    <row r="254" spans="1:13" s="7" customFormat="1" x14ac:dyDescent="0.25">
      <c r="A254" s="1" t="s">
        <v>26</v>
      </c>
      <c r="D254" s="7">
        <v>0.33333333333333331</v>
      </c>
      <c r="G254" s="7">
        <v>0.33333333333333331</v>
      </c>
      <c r="I254" s="7">
        <v>1</v>
      </c>
    </row>
    <row r="255" spans="1:13" s="7" customFormat="1" x14ac:dyDescent="0.25">
      <c r="A255" s="1" t="s">
        <v>7</v>
      </c>
      <c r="C255" s="7">
        <v>1</v>
      </c>
      <c r="D255" s="7">
        <v>0.8</v>
      </c>
      <c r="F255" s="7">
        <v>1</v>
      </c>
      <c r="H255" s="7">
        <v>0.66666666666666663</v>
      </c>
      <c r="I255" s="7">
        <v>1</v>
      </c>
      <c r="J255" s="7">
        <v>1</v>
      </c>
      <c r="K255" s="7">
        <v>0.875</v>
      </c>
      <c r="L255" s="7">
        <v>0.25</v>
      </c>
      <c r="M255" s="7">
        <v>0</v>
      </c>
    </row>
    <row r="256" spans="1:13" s="7" customFormat="1" x14ac:dyDescent="0.25">
      <c r="A256" s="1" t="s">
        <v>10</v>
      </c>
      <c r="J256" s="7">
        <v>0</v>
      </c>
      <c r="K256" s="7">
        <v>0</v>
      </c>
    </row>
    <row r="259" spans="1:13" x14ac:dyDescent="0.25">
      <c r="A259" s="3" t="s">
        <v>147</v>
      </c>
      <c r="D259" s="1" t="s">
        <v>148</v>
      </c>
      <c r="E259" s="10">
        <f ca="1">TODAY()</f>
        <v>44916</v>
      </c>
    </row>
    <row r="260" spans="1:13" s="11" customFormat="1" x14ac:dyDescent="0.25">
      <c r="B260" s="11">
        <v>44837</v>
      </c>
      <c r="C260" s="11">
        <v>44844</v>
      </c>
      <c r="D260" s="11">
        <v>44851</v>
      </c>
      <c r="E260" s="11">
        <v>44858</v>
      </c>
      <c r="F260" s="11">
        <v>44865</v>
      </c>
      <c r="G260" s="11">
        <v>44872</v>
      </c>
      <c r="H260" s="11">
        <v>44879</v>
      </c>
      <c r="I260" s="11">
        <v>44886</v>
      </c>
      <c r="J260" s="11">
        <v>44893</v>
      </c>
      <c r="K260" s="11">
        <v>44900</v>
      </c>
      <c r="L260" s="11">
        <v>44907</v>
      </c>
      <c r="M260" s="11">
        <v>44914</v>
      </c>
    </row>
    <row r="261" spans="1:13" s="7" customFormat="1" x14ac:dyDescent="0.25">
      <c r="A261" s="1" t="s">
        <v>3</v>
      </c>
      <c r="D261" s="7">
        <v>0.42857142857142855</v>
      </c>
      <c r="E261" s="7">
        <v>0.42857142857142855</v>
      </c>
      <c r="F261" s="7">
        <v>0.375</v>
      </c>
      <c r="G261" s="7">
        <v>0.38461538461538464</v>
      </c>
      <c r="H261" s="7">
        <v>0.52631578947368418</v>
      </c>
      <c r="I261" s="7">
        <v>0.56521739130434778</v>
      </c>
      <c r="J261" s="7">
        <v>0.55172413793103448</v>
      </c>
      <c r="K261" s="7">
        <v>0.59459459459459463</v>
      </c>
      <c r="L261" s="7">
        <v>0.56097560975609762</v>
      </c>
      <c r="M261" s="7">
        <v>0.55813953488372092</v>
      </c>
    </row>
    <row r="262" spans="1:13" s="7" customFormat="1" x14ac:dyDescent="0.25">
      <c r="A262" s="1" t="s">
        <v>18</v>
      </c>
      <c r="H262" s="7">
        <v>0</v>
      </c>
      <c r="I262" s="7">
        <v>0</v>
      </c>
      <c r="J262" s="7">
        <v>0.25</v>
      </c>
      <c r="K262" s="7">
        <v>0.2857142857142857</v>
      </c>
      <c r="L262" s="7">
        <v>0.33333333333333331</v>
      </c>
      <c r="M262" s="7">
        <v>0.33333333333333331</v>
      </c>
    </row>
    <row r="263" spans="1:13" s="7" customFormat="1" x14ac:dyDescent="0.25">
      <c r="A263" s="1" t="s">
        <v>16</v>
      </c>
      <c r="C263" s="7">
        <v>0</v>
      </c>
      <c r="D263" s="7">
        <v>0.25</v>
      </c>
      <c r="E263" s="7">
        <v>0.25</v>
      </c>
      <c r="F263" s="7">
        <v>0.33333333333333331</v>
      </c>
      <c r="G263" s="7">
        <v>0.30769230769230771</v>
      </c>
      <c r="H263" s="7">
        <v>0.2857142857142857</v>
      </c>
      <c r="I263" s="7">
        <v>0.33333333333333331</v>
      </c>
      <c r="J263" s="7">
        <v>0.35714285714285715</v>
      </c>
      <c r="K263" s="7">
        <v>0.41935483870967744</v>
      </c>
      <c r="L263" s="7">
        <v>0.4</v>
      </c>
      <c r="M263" s="7">
        <v>0.43243243243243246</v>
      </c>
    </row>
    <row r="264" spans="1:13" s="7" customFormat="1" x14ac:dyDescent="0.25">
      <c r="A264" s="1" t="s">
        <v>22</v>
      </c>
      <c r="C264" s="7">
        <v>0.5</v>
      </c>
      <c r="D264" s="7">
        <v>0.6</v>
      </c>
      <c r="E264" s="7">
        <v>0.6</v>
      </c>
      <c r="F264" s="7">
        <v>0.54545454545454541</v>
      </c>
      <c r="G264" s="7">
        <v>0.66666666666666663</v>
      </c>
      <c r="H264" s="7">
        <v>0.58333333333333337</v>
      </c>
      <c r="I264" s="7">
        <v>0.58333333333333337</v>
      </c>
      <c r="J264" s="7">
        <v>0.53333333333333333</v>
      </c>
      <c r="K264" s="7">
        <v>0.5</v>
      </c>
      <c r="L264" s="7">
        <v>0.48571428571428571</v>
      </c>
      <c r="M264" s="7">
        <v>0.48648648648648651</v>
      </c>
    </row>
    <row r="265" spans="1:13" s="7" customFormat="1" x14ac:dyDescent="0.25">
      <c r="A265" s="1" t="s">
        <v>4</v>
      </c>
      <c r="C265" s="7">
        <v>0.5</v>
      </c>
      <c r="D265" s="7">
        <v>0.77777777777777779</v>
      </c>
      <c r="E265" s="7">
        <v>0.77777777777777779</v>
      </c>
      <c r="F265" s="7">
        <v>0.8</v>
      </c>
      <c r="G265" s="7">
        <v>0.7857142857142857</v>
      </c>
      <c r="H265" s="7">
        <v>0.73913043478260865</v>
      </c>
      <c r="I265" s="7">
        <v>0.62962962962962965</v>
      </c>
      <c r="J265" s="7">
        <v>0.63636363636363635</v>
      </c>
      <c r="K265" s="7">
        <v>0.58536585365853655</v>
      </c>
      <c r="L265" s="7">
        <v>0.6</v>
      </c>
      <c r="M265" s="7">
        <v>0.5957446808510638</v>
      </c>
    </row>
    <row r="266" spans="1:13" s="7" customFormat="1" x14ac:dyDescent="0.25">
      <c r="A266" s="1" t="s">
        <v>6</v>
      </c>
      <c r="C266" s="7">
        <v>0</v>
      </c>
      <c r="D266" s="7">
        <v>0.4</v>
      </c>
      <c r="E266" s="7">
        <v>0.4</v>
      </c>
      <c r="F266" s="7">
        <v>0.36363636363636365</v>
      </c>
      <c r="G266" s="7">
        <v>0.38461538461538464</v>
      </c>
      <c r="H266" s="7">
        <v>0.45454545454545453</v>
      </c>
      <c r="I266" s="7">
        <v>0.44</v>
      </c>
      <c r="J266" s="7">
        <v>0.5161290322580645</v>
      </c>
      <c r="K266" s="7">
        <v>0.55555555555555558</v>
      </c>
      <c r="L266" s="7">
        <v>0.57894736842105265</v>
      </c>
      <c r="M266" s="7">
        <v>0.57499999999999996</v>
      </c>
    </row>
    <row r="267" spans="1:13" s="7" customFormat="1" x14ac:dyDescent="0.25">
      <c r="A267" s="1" t="s">
        <v>5</v>
      </c>
      <c r="C267" s="7">
        <v>0.5</v>
      </c>
      <c r="D267" s="7">
        <v>0.375</v>
      </c>
      <c r="E267" s="7">
        <v>0.375</v>
      </c>
      <c r="F267" s="7">
        <v>0.44444444444444442</v>
      </c>
      <c r="G267" s="7">
        <v>0.42857142857142855</v>
      </c>
      <c r="H267" s="7">
        <v>0.52173913043478259</v>
      </c>
      <c r="I267" s="7">
        <v>0.48148148148148145</v>
      </c>
      <c r="J267" s="7">
        <v>0.51515151515151514</v>
      </c>
      <c r="K267" s="7">
        <v>0.51219512195121952</v>
      </c>
      <c r="L267" s="7">
        <v>0.51111111111111107</v>
      </c>
      <c r="M267" s="7">
        <v>0.51063829787234039</v>
      </c>
    </row>
    <row r="268" spans="1:13" s="7" customFormat="1" x14ac:dyDescent="0.25">
      <c r="A268" s="1" t="s">
        <v>8</v>
      </c>
      <c r="D268" s="7">
        <v>0.4</v>
      </c>
      <c r="E268" s="7">
        <v>0.4</v>
      </c>
      <c r="F268" s="7">
        <v>0.4</v>
      </c>
      <c r="G268" s="7">
        <v>0.5</v>
      </c>
      <c r="H268" s="7">
        <v>0.4375</v>
      </c>
      <c r="I268" s="7">
        <v>0.44444444444444442</v>
      </c>
      <c r="J268" s="7">
        <v>0.4</v>
      </c>
      <c r="K268" s="7">
        <v>0.40740740740740738</v>
      </c>
      <c r="L268" s="7">
        <v>0.46666666666666667</v>
      </c>
      <c r="M268" s="7">
        <v>0.46666666666666667</v>
      </c>
    </row>
    <row r="269" spans="1:13" s="7" customFormat="1" x14ac:dyDescent="0.25">
      <c r="A269" s="1" t="s">
        <v>12</v>
      </c>
      <c r="C269" s="7">
        <v>1</v>
      </c>
      <c r="D269" s="7">
        <v>0.6</v>
      </c>
      <c r="E269" s="7">
        <v>0.6</v>
      </c>
      <c r="F269" s="7">
        <v>0.54545454545454541</v>
      </c>
      <c r="G269" s="7">
        <v>0.5</v>
      </c>
      <c r="H269" s="7">
        <v>0.56000000000000005</v>
      </c>
      <c r="I269" s="7">
        <v>0.55172413793103448</v>
      </c>
      <c r="J269" s="7">
        <v>0.51428571428571423</v>
      </c>
      <c r="K269" s="7">
        <v>0.51219512195121952</v>
      </c>
      <c r="L269" s="7">
        <v>0.51111111111111107</v>
      </c>
      <c r="M269" s="7">
        <v>0.48936170212765956</v>
      </c>
    </row>
    <row r="270" spans="1:13" s="7" customFormat="1" x14ac:dyDescent="0.25">
      <c r="A270" s="2" t="s">
        <v>23</v>
      </c>
      <c r="C270" s="7">
        <v>0.5</v>
      </c>
      <c r="D270" s="7">
        <v>0.5</v>
      </c>
      <c r="E270" s="7">
        <v>0.5</v>
      </c>
      <c r="F270" s="7">
        <v>0.5</v>
      </c>
      <c r="G270" s="7">
        <v>0.66666666666666663</v>
      </c>
      <c r="H270" s="7">
        <v>0.44444444444444442</v>
      </c>
      <c r="I270" s="7">
        <v>0.46153846153846156</v>
      </c>
      <c r="J270" s="7">
        <v>0.42105263157894735</v>
      </c>
      <c r="K270" s="7">
        <v>0.39130434782608697</v>
      </c>
      <c r="L270" s="7">
        <v>0.4</v>
      </c>
      <c r="M270" s="7">
        <v>0.42307692307692307</v>
      </c>
    </row>
    <row r="271" spans="1:13" s="7" customFormat="1" x14ac:dyDescent="0.25">
      <c r="A271" s="2" t="s">
        <v>11</v>
      </c>
      <c r="C271" s="7">
        <v>0.5</v>
      </c>
      <c r="D271" s="7">
        <v>0.5</v>
      </c>
      <c r="E271" s="7">
        <v>0.5</v>
      </c>
      <c r="F271" s="7">
        <v>0.5</v>
      </c>
      <c r="G271" s="7">
        <v>0.5</v>
      </c>
      <c r="H271" s="7">
        <v>0.4</v>
      </c>
      <c r="I271" s="7">
        <v>0.5</v>
      </c>
      <c r="J271" s="7">
        <v>0.53333333333333333</v>
      </c>
      <c r="K271" s="7">
        <v>0.5</v>
      </c>
      <c r="L271" s="7">
        <v>0.54545454545454541</v>
      </c>
      <c r="M271" s="7">
        <v>0.58333333333333337</v>
      </c>
    </row>
    <row r="272" spans="1:13" s="7" customFormat="1" x14ac:dyDescent="0.25">
      <c r="A272" s="1" t="s">
        <v>9</v>
      </c>
      <c r="C272" s="7">
        <v>0.5</v>
      </c>
      <c r="D272" s="7">
        <v>0.6</v>
      </c>
      <c r="E272" s="7">
        <v>0.6</v>
      </c>
      <c r="F272" s="7">
        <v>0.66666666666666663</v>
      </c>
      <c r="G272" s="7">
        <v>0.66666666666666663</v>
      </c>
      <c r="H272" s="7">
        <v>0.54545454545454541</v>
      </c>
      <c r="I272" s="7">
        <v>0.42857142857142855</v>
      </c>
      <c r="J272" s="7">
        <v>0.46666666666666667</v>
      </c>
      <c r="K272" s="7">
        <v>0.36363636363636365</v>
      </c>
      <c r="L272" s="7">
        <v>0.33333333333333331</v>
      </c>
      <c r="M272" s="7">
        <v>0.33333333333333331</v>
      </c>
    </row>
    <row r="273" spans="1:13" s="7" customFormat="1" x14ac:dyDescent="0.25">
      <c r="A273" s="1" t="s">
        <v>24</v>
      </c>
      <c r="D273" s="7">
        <v>0.33333333333333331</v>
      </c>
      <c r="E273" s="7">
        <v>0.33333333333333331</v>
      </c>
      <c r="F273" s="7">
        <v>0.2857142857142857</v>
      </c>
      <c r="G273" s="7">
        <v>0.41666666666666669</v>
      </c>
      <c r="H273" s="7">
        <v>0.33333333333333331</v>
      </c>
      <c r="I273" s="7">
        <v>0.35294117647058826</v>
      </c>
      <c r="J273" s="7">
        <v>0.36842105263157893</v>
      </c>
      <c r="K273" s="7">
        <v>0.36842105263157893</v>
      </c>
      <c r="L273" s="7">
        <v>0.36842105263157893</v>
      </c>
      <c r="M273" s="7">
        <v>0.36842105263157893</v>
      </c>
    </row>
    <row r="274" spans="1:13" s="7" customFormat="1" x14ac:dyDescent="0.25">
      <c r="A274" s="1" t="s">
        <v>26</v>
      </c>
      <c r="D274" s="7">
        <v>0.33333333333333331</v>
      </c>
      <c r="E274" s="7">
        <v>0.33333333333333331</v>
      </c>
      <c r="F274" s="7">
        <v>0.33333333333333331</v>
      </c>
      <c r="G274" s="7">
        <v>0.33333333333333331</v>
      </c>
      <c r="H274" s="7">
        <v>0.33333333333333331</v>
      </c>
      <c r="I274" s="7">
        <v>0.42857142857142855</v>
      </c>
      <c r="J274" s="7">
        <v>0.42857142857142855</v>
      </c>
      <c r="K274" s="7">
        <v>0.42857142857142855</v>
      </c>
      <c r="L274" s="7">
        <v>0.42857142857142855</v>
      </c>
      <c r="M274" s="7">
        <v>0.42857142857142855</v>
      </c>
    </row>
    <row r="275" spans="1:13" s="7" customFormat="1" x14ac:dyDescent="0.25">
      <c r="A275" s="1" t="s">
        <v>7</v>
      </c>
      <c r="C275" s="7">
        <v>1</v>
      </c>
      <c r="D275" s="7">
        <v>0.8571428571428571</v>
      </c>
      <c r="E275" s="7">
        <v>0.8571428571428571</v>
      </c>
      <c r="F275" s="7">
        <v>0.875</v>
      </c>
      <c r="G275" s="7">
        <v>0.875</v>
      </c>
      <c r="H275" s="7">
        <v>0.7857142857142857</v>
      </c>
      <c r="I275" s="7">
        <v>0.82352941176470584</v>
      </c>
      <c r="J275" s="7">
        <v>0.83333333333333337</v>
      </c>
      <c r="K275" s="7">
        <v>0.84615384615384615</v>
      </c>
      <c r="L275" s="7">
        <v>0.76666666666666672</v>
      </c>
      <c r="M275" s="7">
        <v>0.71875</v>
      </c>
    </row>
    <row r="276" spans="1:13" s="7" customFormat="1" x14ac:dyDescent="0.25">
      <c r="A276" s="1" t="s">
        <v>10</v>
      </c>
      <c r="J276" s="7">
        <v>0</v>
      </c>
      <c r="K276" s="7">
        <v>0</v>
      </c>
      <c r="L276" s="7">
        <v>0</v>
      </c>
      <c r="M276" s="7">
        <v>0</v>
      </c>
    </row>
    <row r="279" spans="1:13" x14ac:dyDescent="0.25">
      <c r="A279" s="3" t="s">
        <v>154</v>
      </c>
    </row>
    <row r="280" spans="1:13" s="11" customFormat="1" x14ac:dyDescent="0.25">
      <c r="B280" s="11">
        <v>44837</v>
      </c>
      <c r="C280" s="11">
        <v>44844</v>
      </c>
      <c r="D280" s="11">
        <v>44851</v>
      </c>
      <c r="E280" s="11">
        <v>44858</v>
      </c>
      <c r="F280" s="11">
        <v>44865</v>
      </c>
      <c r="G280" s="11">
        <v>44872</v>
      </c>
      <c r="H280" s="11">
        <v>44879</v>
      </c>
      <c r="I280" s="11">
        <v>44886</v>
      </c>
      <c r="J280" s="11">
        <v>44893</v>
      </c>
      <c r="K280" s="11">
        <v>44900</v>
      </c>
      <c r="L280" s="11">
        <v>44907</v>
      </c>
      <c r="M280" s="11">
        <v>44914</v>
      </c>
    </row>
    <row r="281" spans="1:13" x14ac:dyDescent="0.25">
      <c r="A281" s="1" t="s">
        <v>3</v>
      </c>
      <c r="B281" s="1">
        <v>0</v>
      </c>
      <c r="C281" s="1">
        <v>0</v>
      </c>
      <c r="D281" s="1">
        <v>3</v>
      </c>
      <c r="E281" s="1">
        <v>3</v>
      </c>
      <c r="F281" s="1">
        <v>3</v>
      </c>
      <c r="G281" s="1">
        <v>5</v>
      </c>
      <c r="H281" s="1">
        <v>10</v>
      </c>
      <c r="I281" s="1">
        <v>13</v>
      </c>
      <c r="J281" s="1">
        <v>16</v>
      </c>
      <c r="K281" s="1">
        <v>22</v>
      </c>
      <c r="L281" s="1">
        <v>23</v>
      </c>
      <c r="M281" s="1">
        <v>24</v>
      </c>
    </row>
    <row r="282" spans="1:13" x14ac:dyDescent="0.25">
      <c r="A282" s="1" t="s">
        <v>18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1</v>
      </c>
      <c r="K282" s="1">
        <v>2</v>
      </c>
      <c r="L282" s="1">
        <v>3</v>
      </c>
      <c r="M282" s="1">
        <v>3</v>
      </c>
    </row>
    <row r="283" spans="1:13" x14ac:dyDescent="0.25">
      <c r="A283" s="1" t="s">
        <v>16</v>
      </c>
      <c r="B283" s="1">
        <v>0</v>
      </c>
      <c r="C283" s="1">
        <v>0</v>
      </c>
      <c r="D283" s="1">
        <v>2</v>
      </c>
      <c r="E283" s="1">
        <v>2</v>
      </c>
      <c r="F283" s="1">
        <v>3</v>
      </c>
      <c r="G283" s="1">
        <v>4</v>
      </c>
      <c r="H283" s="1">
        <v>6</v>
      </c>
      <c r="I283" s="1">
        <v>8</v>
      </c>
      <c r="J283" s="1">
        <v>10</v>
      </c>
      <c r="K283" s="1">
        <v>13</v>
      </c>
      <c r="L283" s="1">
        <v>14</v>
      </c>
      <c r="M283" s="1">
        <v>16</v>
      </c>
    </row>
    <row r="284" spans="1:13" x14ac:dyDescent="0.25">
      <c r="A284" s="1" t="s">
        <v>22</v>
      </c>
      <c r="B284" s="1">
        <v>0</v>
      </c>
      <c r="C284" s="1">
        <v>1</v>
      </c>
      <c r="D284" s="1">
        <v>6</v>
      </c>
      <c r="E284" s="1">
        <v>6</v>
      </c>
      <c r="F284" s="1">
        <v>6</v>
      </c>
      <c r="G284" s="1">
        <v>10</v>
      </c>
      <c r="H284" s="1">
        <v>14</v>
      </c>
      <c r="I284" s="1">
        <v>14</v>
      </c>
      <c r="J284" s="1">
        <v>16</v>
      </c>
      <c r="K284" s="1">
        <v>16</v>
      </c>
      <c r="L284" s="1">
        <v>17</v>
      </c>
      <c r="M284" s="1">
        <v>18</v>
      </c>
    </row>
    <row r="285" spans="1:13" x14ac:dyDescent="0.25">
      <c r="A285" s="1" t="s">
        <v>4</v>
      </c>
      <c r="B285" s="1">
        <v>0</v>
      </c>
      <c r="C285" s="1">
        <v>1</v>
      </c>
      <c r="D285" s="1">
        <v>7</v>
      </c>
      <c r="E285" s="1">
        <v>7</v>
      </c>
      <c r="F285" s="1">
        <v>8</v>
      </c>
      <c r="G285" s="1">
        <v>11</v>
      </c>
      <c r="H285" s="1">
        <v>17</v>
      </c>
      <c r="I285" s="1">
        <v>17</v>
      </c>
      <c r="J285" s="1">
        <v>21</v>
      </c>
      <c r="K285" s="1">
        <v>24</v>
      </c>
      <c r="L285" s="1">
        <v>27</v>
      </c>
      <c r="M285" s="1">
        <v>28</v>
      </c>
    </row>
    <row r="286" spans="1:13" x14ac:dyDescent="0.25">
      <c r="A286" s="1" t="s">
        <v>6</v>
      </c>
      <c r="B286" s="1">
        <v>0</v>
      </c>
      <c r="C286" s="1">
        <v>0</v>
      </c>
      <c r="D286" s="1">
        <v>4</v>
      </c>
      <c r="E286" s="1">
        <v>4</v>
      </c>
      <c r="F286" s="1">
        <v>4</v>
      </c>
      <c r="G286" s="1">
        <v>5</v>
      </c>
      <c r="H286" s="1">
        <v>10</v>
      </c>
      <c r="I286" s="1">
        <v>11</v>
      </c>
      <c r="J286" s="1">
        <v>16</v>
      </c>
      <c r="K286" s="1">
        <v>20</v>
      </c>
      <c r="L286" s="1">
        <v>22</v>
      </c>
      <c r="M286" s="1">
        <v>23</v>
      </c>
    </row>
    <row r="287" spans="1:13" x14ac:dyDescent="0.25">
      <c r="A287" s="1" t="s">
        <v>5</v>
      </c>
      <c r="B287" s="1">
        <v>0</v>
      </c>
      <c r="C287" s="1">
        <v>1</v>
      </c>
      <c r="D287" s="1">
        <v>3</v>
      </c>
      <c r="E287" s="1">
        <v>3</v>
      </c>
      <c r="F287" s="1">
        <v>4</v>
      </c>
      <c r="G287" s="1">
        <v>6</v>
      </c>
      <c r="H287" s="1">
        <v>12</v>
      </c>
      <c r="I287" s="1">
        <v>13</v>
      </c>
      <c r="J287" s="1">
        <v>17</v>
      </c>
      <c r="K287" s="1">
        <v>21</v>
      </c>
      <c r="L287" s="1">
        <v>23</v>
      </c>
      <c r="M287" s="1">
        <v>24</v>
      </c>
    </row>
    <row r="288" spans="1:13" x14ac:dyDescent="0.25">
      <c r="A288" s="1" t="s">
        <v>8</v>
      </c>
      <c r="B288" s="1">
        <v>0</v>
      </c>
      <c r="C288" s="1">
        <v>0</v>
      </c>
      <c r="D288" s="1">
        <v>2</v>
      </c>
      <c r="E288" s="1">
        <v>2</v>
      </c>
      <c r="F288" s="1">
        <v>2</v>
      </c>
      <c r="G288" s="1">
        <v>5</v>
      </c>
      <c r="H288" s="1">
        <v>7</v>
      </c>
      <c r="I288" s="1">
        <v>8</v>
      </c>
      <c r="J288" s="1">
        <v>8</v>
      </c>
      <c r="K288" s="1">
        <v>11</v>
      </c>
      <c r="L288" s="1">
        <v>14</v>
      </c>
      <c r="M288" s="1">
        <v>14</v>
      </c>
    </row>
    <row r="289" spans="1:13" x14ac:dyDescent="0.25">
      <c r="A289" s="1" t="s">
        <v>12</v>
      </c>
      <c r="B289" s="1">
        <v>0</v>
      </c>
      <c r="C289" s="1">
        <v>2</v>
      </c>
      <c r="D289" s="1">
        <v>6</v>
      </c>
      <c r="E289" s="1">
        <v>6</v>
      </c>
      <c r="F289" s="1">
        <v>6</v>
      </c>
      <c r="G289" s="1">
        <v>8</v>
      </c>
      <c r="H289" s="1">
        <v>14</v>
      </c>
      <c r="I289" s="1">
        <v>16</v>
      </c>
      <c r="J289" s="1">
        <v>18</v>
      </c>
      <c r="K289" s="1">
        <v>21</v>
      </c>
      <c r="L289" s="1">
        <v>23</v>
      </c>
      <c r="M289" s="1">
        <v>23</v>
      </c>
    </row>
    <row r="290" spans="1:13" x14ac:dyDescent="0.25">
      <c r="A290" s="2" t="s">
        <v>23</v>
      </c>
      <c r="B290" s="1">
        <v>0</v>
      </c>
      <c r="C290" s="1">
        <v>1</v>
      </c>
      <c r="D290" s="1">
        <v>1</v>
      </c>
      <c r="E290" s="1">
        <v>1</v>
      </c>
      <c r="F290" s="1">
        <v>1</v>
      </c>
      <c r="G290" s="1">
        <v>2</v>
      </c>
      <c r="H290" s="1">
        <v>4</v>
      </c>
      <c r="I290" s="1">
        <v>6</v>
      </c>
      <c r="J290" s="1">
        <v>8</v>
      </c>
      <c r="K290" s="1">
        <v>9</v>
      </c>
      <c r="L290" s="1">
        <v>10</v>
      </c>
      <c r="M290" s="1">
        <v>11</v>
      </c>
    </row>
    <row r="291" spans="1:13" x14ac:dyDescent="0.25">
      <c r="A291" s="2" t="s">
        <v>11</v>
      </c>
      <c r="B291" s="1">
        <v>0</v>
      </c>
      <c r="C291" s="1">
        <v>1</v>
      </c>
      <c r="D291" s="1">
        <v>2</v>
      </c>
      <c r="E291" s="1">
        <v>2</v>
      </c>
      <c r="F291" s="1">
        <v>2</v>
      </c>
      <c r="G291" s="1">
        <v>3</v>
      </c>
      <c r="H291" s="1">
        <v>4</v>
      </c>
      <c r="I291" s="1">
        <v>6</v>
      </c>
      <c r="J291" s="1">
        <v>8</v>
      </c>
      <c r="K291" s="1">
        <v>10</v>
      </c>
      <c r="L291" s="1">
        <v>12</v>
      </c>
      <c r="M291" s="1">
        <v>14</v>
      </c>
    </row>
    <row r="292" spans="1:13" x14ac:dyDescent="0.25">
      <c r="A292" s="1" t="s">
        <v>9</v>
      </c>
      <c r="B292" s="1">
        <v>0</v>
      </c>
      <c r="C292" s="1">
        <v>1</v>
      </c>
      <c r="D292" s="1">
        <v>3</v>
      </c>
      <c r="E292" s="1">
        <v>3</v>
      </c>
      <c r="F292" s="1">
        <v>4</v>
      </c>
      <c r="G292" s="1">
        <v>4</v>
      </c>
      <c r="H292" s="1">
        <v>6</v>
      </c>
      <c r="I292" s="1">
        <v>6</v>
      </c>
      <c r="J292" s="1">
        <v>7</v>
      </c>
      <c r="K292" s="1">
        <v>8</v>
      </c>
      <c r="L292" s="1">
        <v>8</v>
      </c>
      <c r="M292" s="1">
        <v>8</v>
      </c>
    </row>
    <row r="293" spans="1:13" x14ac:dyDescent="0.25">
      <c r="A293" s="1" t="s">
        <v>24</v>
      </c>
      <c r="B293" s="1">
        <v>0</v>
      </c>
      <c r="C293" s="1">
        <v>0</v>
      </c>
      <c r="D293" s="1">
        <v>2</v>
      </c>
      <c r="E293" s="1">
        <v>2</v>
      </c>
      <c r="F293" s="1">
        <v>2</v>
      </c>
      <c r="G293" s="1">
        <v>5</v>
      </c>
      <c r="H293" s="1">
        <v>5</v>
      </c>
      <c r="I293" s="1">
        <v>6</v>
      </c>
      <c r="J293" s="1">
        <v>7</v>
      </c>
      <c r="K293" s="1">
        <v>7</v>
      </c>
      <c r="L293" s="1">
        <v>7</v>
      </c>
      <c r="M293" s="1">
        <v>7</v>
      </c>
    </row>
    <row r="294" spans="1:13" x14ac:dyDescent="0.25">
      <c r="A294" s="1" t="s">
        <v>26</v>
      </c>
      <c r="B294" s="1">
        <v>0</v>
      </c>
      <c r="C294" s="1">
        <v>0</v>
      </c>
      <c r="D294" s="1">
        <v>1</v>
      </c>
      <c r="E294" s="1">
        <v>1</v>
      </c>
      <c r="F294" s="1">
        <v>1</v>
      </c>
      <c r="G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3</v>
      </c>
      <c r="M294" s="1">
        <v>3</v>
      </c>
    </row>
    <row r="295" spans="1:13" x14ac:dyDescent="0.25">
      <c r="A295" s="1" t="s">
        <v>7</v>
      </c>
      <c r="B295" s="1">
        <v>0</v>
      </c>
      <c r="C295" s="1">
        <v>2</v>
      </c>
      <c r="D295" s="1">
        <v>6</v>
      </c>
      <c r="E295" s="1">
        <v>6</v>
      </c>
      <c r="F295" s="1">
        <v>7</v>
      </c>
      <c r="G295" s="1">
        <v>7</v>
      </c>
      <c r="H295" s="1">
        <v>11</v>
      </c>
      <c r="I295" s="1">
        <v>14</v>
      </c>
      <c r="J295" s="1">
        <v>15</v>
      </c>
      <c r="K295" s="1">
        <v>22</v>
      </c>
      <c r="L295" s="1">
        <v>23</v>
      </c>
      <c r="M295" s="1">
        <v>23</v>
      </c>
    </row>
    <row r="296" spans="1:13" x14ac:dyDescent="0.25">
      <c r="A296" s="1" t="s">
        <v>10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</row>
    <row r="299" spans="1:13" x14ac:dyDescent="0.25">
      <c r="A299" s="3" t="s">
        <v>155</v>
      </c>
    </row>
    <row r="300" spans="1:13" s="11" customFormat="1" x14ac:dyDescent="0.25">
      <c r="B300" s="11">
        <v>44837</v>
      </c>
      <c r="C300" s="11">
        <v>44844</v>
      </c>
      <c r="D300" s="11">
        <v>44851</v>
      </c>
      <c r="E300" s="11">
        <v>44858</v>
      </c>
      <c r="F300" s="11">
        <v>44865</v>
      </c>
      <c r="G300" s="11">
        <v>44872</v>
      </c>
      <c r="H300" s="11">
        <v>44879</v>
      </c>
      <c r="I300" s="11">
        <v>44886</v>
      </c>
      <c r="J300" s="11">
        <v>44893</v>
      </c>
      <c r="K300" s="11">
        <v>44900</v>
      </c>
      <c r="L300" s="11">
        <v>44907</v>
      </c>
      <c r="M300" s="11">
        <v>44914</v>
      </c>
    </row>
    <row r="301" spans="1:13" x14ac:dyDescent="0.25">
      <c r="A301" s="1" t="s">
        <v>3</v>
      </c>
      <c r="B301" s="1">
        <v>0</v>
      </c>
      <c r="C301" s="1">
        <v>0</v>
      </c>
      <c r="D301" s="1">
        <v>7</v>
      </c>
      <c r="E301" s="1">
        <v>7</v>
      </c>
      <c r="F301" s="1">
        <v>8</v>
      </c>
      <c r="G301" s="1">
        <v>13</v>
      </c>
      <c r="H301" s="1">
        <v>19</v>
      </c>
      <c r="I301" s="1">
        <v>23</v>
      </c>
      <c r="J301" s="1">
        <v>29</v>
      </c>
      <c r="K301" s="1">
        <v>37</v>
      </c>
      <c r="L301" s="1">
        <v>41</v>
      </c>
      <c r="M301" s="1">
        <v>43</v>
      </c>
    </row>
    <row r="302" spans="1:13" x14ac:dyDescent="0.25">
      <c r="A302" s="1" t="s">
        <v>18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1</v>
      </c>
      <c r="I302" s="1">
        <v>1</v>
      </c>
      <c r="J302" s="1">
        <v>4</v>
      </c>
      <c r="K302" s="1">
        <v>7</v>
      </c>
      <c r="L302" s="1">
        <v>9</v>
      </c>
      <c r="M302" s="1">
        <v>9</v>
      </c>
    </row>
    <row r="303" spans="1:13" x14ac:dyDescent="0.25">
      <c r="A303" s="1" t="s">
        <v>16</v>
      </c>
      <c r="B303" s="1">
        <v>0</v>
      </c>
      <c r="C303" s="1">
        <v>2</v>
      </c>
      <c r="D303" s="1">
        <v>8</v>
      </c>
      <c r="E303" s="1">
        <v>8</v>
      </c>
      <c r="F303" s="1">
        <v>9</v>
      </c>
      <c r="G303" s="1">
        <v>13</v>
      </c>
      <c r="H303" s="1">
        <v>21</v>
      </c>
      <c r="I303" s="1">
        <v>24</v>
      </c>
      <c r="J303" s="1">
        <v>28</v>
      </c>
      <c r="K303" s="1">
        <v>31</v>
      </c>
      <c r="L303" s="1">
        <v>35</v>
      </c>
      <c r="M303" s="1">
        <v>37</v>
      </c>
    </row>
    <row r="304" spans="1:13" x14ac:dyDescent="0.25">
      <c r="A304" s="1" t="s">
        <v>22</v>
      </c>
      <c r="B304" s="1">
        <v>0</v>
      </c>
      <c r="C304" s="1">
        <v>2</v>
      </c>
      <c r="D304" s="1">
        <v>10</v>
      </c>
      <c r="E304" s="1">
        <v>10</v>
      </c>
      <c r="F304" s="1">
        <v>11</v>
      </c>
      <c r="G304" s="1">
        <v>15</v>
      </c>
      <c r="H304" s="1">
        <v>24</v>
      </c>
      <c r="I304" s="1">
        <v>24</v>
      </c>
      <c r="J304" s="1">
        <v>30</v>
      </c>
      <c r="K304" s="1">
        <v>32</v>
      </c>
      <c r="L304" s="1">
        <v>35</v>
      </c>
      <c r="M304" s="1">
        <v>37</v>
      </c>
    </row>
    <row r="305" spans="1:13" x14ac:dyDescent="0.25">
      <c r="A305" s="1" t="s">
        <v>4</v>
      </c>
      <c r="B305" s="1">
        <v>0</v>
      </c>
      <c r="C305" s="1">
        <v>2</v>
      </c>
      <c r="D305" s="1">
        <v>9</v>
      </c>
      <c r="E305" s="1">
        <v>9</v>
      </c>
      <c r="F305" s="1">
        <v>10</v>
      </c>
      <c r="G305" s="1">
        <v>14</v>
      </c>
      <c r="H305" s="1">
        <v>23</v>
      </c>
      <c r="I305" s="1">
        <v>27</v>
      </c>
      <c r="J305" s="1">
        <v>33</v>
      </c>
      <c r="K305" s="1">
        <v>41</v>
      </c>
      <c r="L305" s="1">
        <v>45</v>
      </c>
      <c r="M305" s="1">
        <v>47</v>
      </c>
    </row>
    <row r="306" spans="1:13" x14ac:dyDescent="0.25">
      <c r="A306" s="1" t="s">
        <v>6</v>
      </c>
      <c r="B306" s="1">
        <v>0</v>
      </c>
      <c r="C306" s="1">
        <v>2</v>
      </c>
      <c r="D306" s="1">
        <v>10</v>
      </c>
      <c r="E306" s="1">
        <v>10</v>
      </c>
      <c r="F306" s="1">
        <v>11</v>
      </c>
      <c r="G306" s="1">
        <v>13</v>
      </c>
      <c r="H306" s="1">
        <v>22</v>
      </c>
      <c r="I306" s="1">
        <v>25</v>
      </c>
      <c r="J306" s="1">
        <v>31</v>
      </c>
      <c r="K306" s="1">
        <v>36</v>
      </c>
      <c r="L306" s="1">
        <v>38</v>
      </c>
      <c r="M306" s="1">
        <v>40</v>
      </c>
    </row>
    <row r="307" spans="1:13" x14ac:dyDescent="0.25">
      <c r="A307" s="1" t="s">
        <v>5</v>
      </c>
      <c r="B307" s="1">
        <v>0</v>
      </c>
      <c r="C307" s="1">
        <v>2</v>
      </c>
      <c r="D307" s="1">
        <v>8</v>
      </c>
      <c r="E307" s="1">
        <v>8</v>
      </c>
      <c r="F307" s="1">
        <v>9</v>
      </c>
      <c r="G307" s="1">
        <v>14</v>
      </c>
      <c r="H307" s="1">
        <v>23</v>
      </c>
      <c r="I307" s="1">
        <v>27</v>
      </c>
      <c r="J307" s="1">
        <v>33</v>
      </c>
      <c r="K307" s="1">
        <v>41</v>
      </c>
      <c r="L307" s="1">
        <v>45</v>
      </c>
      <c r="M307" s="1">
        <v>47</v>
      </c>
    </row>
    <row r="308" spans="1:13" x14ac:dyDescent="0.25">
      <c r="A308" s="1" t="s">
        <v>8</v>
      </c>
      <c r="B308" s="1">
        <v>0</v>
      </c>
      <c r="C308" s="1">
        <v>0</v>
      </c>
      <c r="D308" s="1">
        <v>5</v>
      </c>
      <c r="E308" s="1">
        <v>5</v>
      </c>
      <c r="F308" s="1">
        <v>5</v>
      </c>
      <c r="G308" s="1">
        <v>10</v>
      </c>
      <c r="H308" s="1">
        <v>16</v>
      </c>
      <c r="I308" s="1">
        <v>18</v>
      </c>
      <c r="J308" s="1">
        <v>20</v>
      </c>
      <c r="K308" s="1">
        <v>27</v>
      </c>
      <c r="L308" s="1">
        <v>30</v>
      </c>
      <c r="M308" s="1">
        <v>30</v>
      </c>
    </row>
    <row r="309" spans="1:13" x14ac:dyDescent="0.25">
      <c r="A309" s="1" t="s">
        <v>12</v>
      </c>
      <c r="B309" s="1">
        <v>0</v>
      </c>
      <c r="C309" s="1">
        <v>2</v>
      </c>
      <c r="D309" s="1">
        <v>10</v>
      </c>
      <c r="E309" s="1">
        <v>10</v>
      </c>
      <c r="F309" s="1">
        <v>11</v>
      </c>
      <c r="G309" s="1">
        <v>16</v>
      </c>
      <c r="H309" s="1">
        <v>25</v>
      </c>
      <c r="I309" s="1">
        <v>29</v>
      </c>
      <c r="J309" s="1">
        <v>35</v>
      </c>
      <c r="K309" s="1">
        <v>41</v>
      </c>
      <c r="L309" s="1">
        <v>45</v>
      </c>
      <c r="M309" s="1">
        <v>47</v>
      </c>
    </row>
    <row r="310" spans="1:13" x14ac:dyDescent="0.25">
      <c r="A310" s="2" t="s">
        <v>23</v>
      </c>
      <c r="B310" s="1">
        <v>0</v>
      </c>
      <c r="C310" s="1">
        <v>2</v>
      </c>
      <c r="D310" s="1">
        <v>2</v>
      </c>
      <c r="E310" s="1">
        <v>2</v>
      </c>
      <c r="F310" s="1">
        <v>2</v>
      </c>
      <c r="G310" s="1">
        <v>3</v>
      </c>
      <c r="H310" s="1">
        <v>9</v>
      </c>
      <c r="I310" s="1">
        <v>13</v>
      </c>
      <c r="J310" s="1">
        <v>19</v>
      </c>
      <c r="K310" s="1">
        <v>23</v>
      </c>
      <c r="L310" s="1">
        <v>25</v>
      </c>
      <c r="M310" s="1">
        <v>26</v>
      </c>
    </row>
    <row r="311" spans="1:13" x14ac:dyDescent="0.25">
      <c r="A311" s="2" t="s">
        <v>11</v>
      </c>
      <c r="B311" s="1">
        <v>0</v>
      </c>
      <c r="C311" s="1">
        <v>2</v>
      </c>
      <c r="D311" s="1">
        <v>4</v>
      </c>
      <c r="E311" s="1">
        <v>4</v>
      </c>
      <c r="F311" s="1">
        <v>4</v>
      </c>
      <c r="G311" s="1">
        <v>6</v>
      </c>
      <c r="H311" s="1">
        <v>10</v>
      </c>
      <c r="I311" s="1">
        <v>12</v>
      </c>
      <c r="J311" s="1">
        <v>15</v>
      </c>
      <c r="K311" s="1">
        <v>20</v>
      </c>
      <c r="L311" s="1">
        <v>22</v>
      </c>
      <c r="M311" s="1">
        <v>24</v>
      </c>
    </row>
    <row r="312" spans="1:13" x14ac:dyDescent="0.25">
      <c r="A312" s="1" t="s">
        <v>9</v>
      </c>
      <c r="B312" s="1">
        <v>0</v>
      </c>
      <c r="C312" s="1">
        <v>2</v>
      </c>
      <c r="D312" s="1">
        <v>5</v>
      </c>
      <c r="E312" s="1">
        <v>5</v>
      </c>
      <c r="F312" s="1">
        <v>6</v>
      </c>
      <c r="G312" s="1">
        <v>6</v>
      </c>
      <c r="H312" s="1">
        <v>11</v>
      </c>
      <c r="I312" s="1">
        <v>14</v>
      </c>
      <c r="J312" s="1">
        <v>15</v>
      </c>
      <c r="K312" s="1">
        <v>22</v>
      </c>
      <c r="L312" s="1">
        <v>24</v>
      </c>
      <c r="M312" s="1">
        <v>24</v>
      </c>
    </row>
    <row r="313" spans="1:13" x14ac:dyDescent="0.25">
      <c r="A313" s="1" t="s">
        <v>24</v>
      </c>
      <c r="B313" s="1">
        <v>0</v>
      </c>
      <c r="C313" s="1">
        <v>0</v>
      </c>
      <c r="D313" s="1">
        <v>6</v>
      </c>
      <c r="E313" s="1">
        <v>6</v>
      </c>
      <c r="F313" s="1">
        <v>7</v>
      </c>
      <c r="G313" s="1">
        <v>12</v>
      </c>
      <c r="H313" s="1">
        <v>15</v>
      </c>
      <c r="I313" s="1">
        <v>17</v>
      </c>
      <c r="J313" s="1">
        <v>19</v>
      </c>
      <c r="K313" s="1">
        <v>19</v>
      </c>
      <c r="L313" s="1">
        <v>19</v>
      </c>
      <c r="M313" s="1">
        <v>19</v>
      </c>
    </row>
    <row r="314" spans="1:13" x14ac:dyDescent="0.25">
      <c r="A314" s="1" t="s">
        <v>26</v>
      </c>
      <c r="B314" s="1">
        <v>0</v>
      </c>
      <c r="C314" s="1">
        <v>0</v>
      </c>
      <c r="D314" s="1">
        <v>3</v>
      </c>
      <c r="E314" s="1">
        <v>3</v>
      </c>
      <c r="F314" s="1">
        <v>3</v>
      </c>
      <c r="G314" s="1">
        <v>6</v>
      </c>
      <c r="H314" s="1">
        <v>6</v>
      </c>
      <c r="I314" s="1">
        <v>7</v>
      </c>
      <c r="J314" s="1">
        <v>7</v>
      </c>
      <c r="K314" s="1">
        <v>7</v>
      </c>
      <c r="L314" s="1">
        <v>7</v>
      </c>
      <c r="M314" s="1">
        <v>7</v>
      </c>
    </row>
    <row r="315" spans="1:13" x14ac:dyDescent="0.25">
      <c r="A315" s="1" t="s">
        <v>7</v>
      </c>
      <c r="B315" s="1">
        <v>0</v>
      </c>
      <c r="C315" s="1">
        <v>2</v>
      </c>
      <c r="D315" s="1">
        <v>7</v>
      </c>
      <c r="E315" s="1">
        <v>7</v>
      </c>
      <c r="F315" s="1">
        <v>8</v>
      </c>
      <c r="G315" s="1">
        <v>8</v>
      </c>
      <c r="H315" s="1">
        <v>14</v>
      </c>
      <c r="I315" s="1">
        <v>17</v>
      </c>
      <c r="J315" s="1">
        <v>18</v>
      </c>
      <c r="K315" s="1">
        <v>26</v>
      </c>
      <c r="L315" s="1">
        <v>30</v>
      </c>
      <c r="M315" s="1">
        <v>32</v>
      </c>
    </row>
    <row r="316" spans="1:13" x14ac:dyDescent="0.25">
      <c r="A316" s="1" t="s">
        <v>10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2</v>
      </c>
      <c r="K316" s="1">
        <v>4</v>
      </c>
      <c r="L316" s="1">
        <v>4</v>
      </c>
      <c r="M316" s="1">
        <v>4</v>
      </c>
    </row>
    <row r="319" spans="1:13" x14ac:dyDescent="0.25">
      <c r="A319" s="3" t="s">
        <v>156</v>
      </c>
    </row>
    <row r="320" spans="1:13" x14ac:dyDescent="0.25">
      <c r="B320" t="s">
        <v>14</v>
      </c>
      <c r="C320" t="s">
        <v>17</v>
      </c>
      <c r="D320" t="s">
        <v>21</v>
      </c>
      <c r="E320" t="s">
        <v>25</v>
      </c>
      <c r="F320" t="s">
        <v>13</v>
      </c>
      <c r="G320" t="s">
        <v>19</v>
      </c>
      <c r="H320" t="s">
        <v>20</v>
      </c>
      <c r="I320" t="s">
        <v>2</v>
      </c>
    </row>
    <row r="321" spans="1:9" x14ac:dyDescent="0.25">
      <c r="A321" s="1" t="s">
        <v>3</v>
      </c>
      <c r="B321" s="7">
        <v>0.7142857142857143</v>
      </c>
      <c r="C321" s="7">
        <v>0.5714285714285714</v>
      </c>
      <c r="D321" s="7">
        <v>0.66666666666666663</v>
      </c>
      <c r="E321" s="7">
        <v>0.25</v>
      </c>
      <c r="F321" s="7">
        <v>0.6</v>
      </c>
      <c r="G321" s="7">
        <v>0.4</v>
      </c>
      <c r="H321" s="7">
        <v>0.66666666666666663</v>
      </c>
      <c r="I321" s="7">
        <v>0.5</v>
      </c>
    </row>
    <row r="322" spans="1:9" x14ac:dyDescent="0.25">
      <c r="A322" s="1" t="s">
        <v>18</v>
      </c>
      <c r="B322" s="7">
        <v>1</v>
      </c>
      <c r="C322" s="7">
        <v>0.33333333333333331</v>
      </c>
      <c r="D322" s="7">
        <v>0.33333333333333331</v>
      </c>
      <c r="E322" s="7">
        <v>0</v>
      </c>
      <c r="F322" s="7"/>
      <c r="G322" s="7"/>
      <c r="H322" s="7"/>
      <c r="I322" s="7">
        <v>0</v>
      </c>
    </row>
    <row r="323" spans="1:9" x14ac:dyDescent="0.25">
      <c r="A323" s="1" t="s">
        <v>16</v>
      </c>
      <c r="B323" s="7">
        <v>0.2</v>
      </c>
      <c r="C323" s="7">
        <v>0.7142857142857143</v>
      </c>
      <c r="D323" s="7">
        <v>0.66666666666666663</v>
      </c>
      <c r="E323" s="7">
        <v>0.2</v>
      </c>
      <c r="F323" s="7">
        <v>0.66666666666666663</v>
      </c>
      <c r="G323" s="7">
        <v>0.25</v>
      </c>
      <c r="H323" s="7">
        <v>0.25</v>
      </c>
      <c r="I323" s="7">
        <v>0.5</v>
      </c>
    </row>
    <row r="324" spans="1:9" x14ac:dyDescent="0.25">
      <c r="A324" s="1" t="s">
        <v>22</v>
      </c>
      <c r="B324" s="7">
        <v>0.4</v>
      </c>
      <c r="C324" s="7">
        <v>0.5</v>
      </c>
      <c r="D324" s="7">
        <v>0</v>
      </c>
      <c r="E324" s="7">
        <v>0.66666666666666663</v>
      </c>
      <c r="F324" s="7">
        <v>0.66666666666666663</v>
      </c>
      <c r="G324" s="7">
        <v>0.66666666666666663</v>
      </c>
      <c r="H324" s="7">
        <v>0.8</v>
      </c>
      <c r="I324" s="7">
        <v>0.16666666666666666</v>
      </c>
    </row>
    <row r="325" spans="1:9" x14ac:dyDescent="0.25">
      <c r="A325" s="1" t="s">
        <v>4</v>
      </c>
      <c r="B325" s="7">
        <v>0.42857142857142855</v>
      </c>
      <c r="C325" s="7">
        <v>0.625</v>
      </c>
      <c r="D325" s="7">
        <v>1</v>
      </c>
      <c r="E325" s="7">
        <v>0.6</v>
      </c>
      <c r="F325" s="7">
        <v>0.6</v>
      </c>
      <c r="G325" s="7">
        <v>0.6</v>
      </c>
      <c r="H325" s="7">
        <v>0.5</v>
      </c>
      <c r="I325" s="7">
        <v>0.625</v>
      </c>
    </row>
    <row r="326" spans="1:9" x14ac:dyDescent="0.25">
      <c r="A326" s="1" t="s">
        <v>6</v>
      </c>
      <c r="B326" s="7">
        <v>0.5</v>
      </c>
      <c r="C326" s="7">
        <v>0.5</v>
      </c>
      <c r="D326" s="7">
        <v>0.5</v>
      </c>
      <c r="E326" s="7">
        <v>1</v>
      </c>
      <c r="F326" s="7">
        <v>0.8</v>
      </c>
      <c r="G326" s="7">
        <v>0.83333333333333337</v>
      </c>
      <c r="H326" s="7">
        <v>0.4</v>
      </c>
      <c r="I326" s="7">
        <v>0.2857142857142857</v>
      </c>
    </row>
    <row r="327" spans="1:9" x14ac:dyDescent="0.25">
      <c r="A327" s="1" t="s">
        <v>5</v>
      </c>
      <c r="B327" s="7">
        <v>0.25</v>
      </c>
      <c r="C327" s="7">
        <v>0.5</v>
      </c>
      <c r="D327" s="7">
        <v>1</v>
      </c>
      <c r="E327" s="7">
        <v>0.4</v>
      </c>
      <c r="F327" s="7">
        <v>0.6</v>
      </c>
      <c r="G327" s="7">
        <v>0.5</v>
      </c>
      <c r="H327" s="7">
        <v>0.4</v>
      </c>
      <c r="I327" s="7">
        <v>0.7142857142857143</v>
      </c>
    </row>
    <row r="328" spans="1:9" x14ac:dyDescent="0.25">
      <c r="A328" s="1" t="s">
        <v>8</v>
      </c>
      <c r="B328" s="7">
        <v>0.5</v>
      </c>
      <c r="C328" s="7">
        <v>0.4</v>
      </c>
      <c r="D328" s="7">
        <v>1</v>
      </c>
      <c r="E328" s="7">
        <v>0.6</v>
      </c>
      <c r="F328" s="7">
        <v>0</v>
      </c>
      <c r="G328" s="7">
        <v>0.33333333333333331</v>
      </c>
      <c r="H328" s="7">
        <v>0.33333333333333331</v>
      </c>
      <c r="I328" s="7">
        <v>0.6</v>
      </c>
    </row>
    <row r="329" spans="1:9" x14ac:dyDescent="0.25">
      <c r="A329" s="1" t="s">
        <v>12</v>
      </c>
      <c r="B329" s="7">
        <v>0.5714285714285714</v>
      </c>
      <c r="C329" s="7">
        <v>0.42857142857142855</v>
      </c>
      <c r="D329" s="7">
        <v>0.33333333333333331</v>
      </c>
      <c r="E329" s="7">
        <v>0.4</v>
      </c>
      <c r="F329" s="7">
        <v>0.2</v>
      </c>
      <c r="G329" s="7">
        <v>0.5</v>
      </c>
      <c r="H329" s="7">
        <v>0.83333333333333337</v>
      </c>
      <c r="I329" s="7">
        <v>0.5</v>
      </c>
    </row>
    <row r="330" spans="1:9" x14ac:dyDescent="0.25">
      <c r="A330" s="2" t="s">
        <v>23</v>
      </c>
      <c r="B330" s="7">
        <v>0.6</v>
      </c>
      <c r="C330" s="7">
        <v>0.33333333333333331</v>
      </c>
      <c r="D330" s="7">
        <v>0</v>
      </c>
      <c r="E330" s="7">
        <v>0.66666666666666663</v>
      </c>
      <c r="F330" s="7">
        <v>0.5</v>
      </c>
      <c r="G330" s="7">
        <v>1</v>
      </c>
      <c r="H330" s="7">
        <v>0</v>
      </c>
      <c r="I330" s="7">
        <v>0.5</v>
      </c>
    </row>
    <row r="331" spans="1:9" x14ac:dyDescent="0.25">
      <c r="A331" s="2" t="s">
        <v>11</v>
      </c>
      <c r="B331" s="7">
        <v>0.4</v>
      </c>
      <c r="C331" s="7">
        <v>0.25</v>
      </c>
      <c r="D331" s="7">
        <v>0.5</v>
      </c>
      <c r="E331" s="7">
        <v>1</v>
      </c>
      <c r="F331" s="7">
        <v>0.5</v>
      </c>
      <c r="G331" s="7">
        <v>1</v>
      </c>
      <c r="H331" s="7">
        <v>1</v>
      </c>
      <c r="I331" s="7">
        <v>0.5</v>
      </c>
    </row>
    <row r="332" spans="1:9" x14ac:dyDescent="0.25">
      <c r="A332" s="1" t="s">
        <v>9</v>
      </c>
      <c r="B332" s="7">
        <v>0.25</v>
      </c>
      <c r="C332" s="7">
        <v>0.33333333333333331</v>
      </c>
      <c r="D332" s="7"/>
      <c r="E332" s="7">
        <v>0.33333333333333331</v>
      </c>
      <c r="F332" s="7">
        <v>0</v>
      </c>
      <c r="G332" s="7">
        <v>1</v>
      </c>
      <c r="H332" s="7">
        <v>0.33333333333333331</v>
      </c>
      <c r="I332" s="7">
        <v>0.2857142857142857</v>
      </c>
    </row>
    <row r="333" spans="1:9" x14ac:dyDescent="0.25">
      <c r="A333" s="1" t="s">
        <v>24</v>
      </c>
      <c r="B333" s="7">
        <v>0.5</v>
      </c>
      <c r="C333" s="7">
        <v>0.33333333333333331</v>
      </c>
      <c r="D333" s="7"/>
      <c r="E333" s="7">
        <v>0.5</v>
      </c>
      <c r="F333" s="7">
        <v>1</v>
      </c>
      <c r="G333" s="7">
        <v>0.33333333333333331</v>
      </c>
      <c r="H333" s="7">
        <v>0</v>
      </c>
      <c r="I333" s="7">
        <v>0.33333333333333331</v>
      </c>
    </row>
    <row r="334" spans="1:9" x14ac:dyDescent="0.25">
      <c r="A334" s="1" t="s">
        <v>26</v>
      </c>
      <c r="B334" s="7">
        <v>1</v>
      </c>
      <c r="C334" s="7">
        <v>0</v>
      </c>
      <c r="D334" s="7"/>
      <c r="E334" s="7">
        <v>1</v>
      </c>
      <c r="F334" s="7"/>
      <c r="G334" s="7">
        <v>0</v>
      </c>
      <c r="H334" s="7">
        <v>0</v>
      </c>
      <c r="I334" s="7">
        <v>1</v>
      </c>
    </row>
    <row r="335" spans="1:9" x14ac:dyDescent="0.25">
      <c r="A335" s="1" t="s">
        <v>7</v>
      </c>
      <c r="B335" s="7">
        <v>1</v>
      </c>
      <c r="C335" s="7">
        <v>1</v>
      </c>
      <c r="D335" s="7">
        <v>0</v>
      </c>
      <c r="E335" s="7">
        <v>0.33333333333333331</v>
      </c>
      <c r="F335" s="7">
        <v>0.5</v>
      </c>
      <c r="G335" s="7">
        <v>0.25</v>
      </c>
      <c r="H335" s="7">
        <v>1</v>
      </c>
      <c r="I335" s="7">
        <v>0.8571428571428571</v>
      </c>
    </row>
    <row r="336" spans="1:9" x14ac:dyDescent="0.25">
      <c r="A336" s="1" t="s">
        <v>10</v>
      </c>
      <c r="B336" s="7"/>
      <c r="C336" s="7"/>
      <c r="D336" s="7"/>
      <c r="E336" s="7"/>
      <c r="F336" s="7">
        <v>0</v>
      </c>
      <c r="G336" s="7"/>
      <c r="H336" s="7">
        <v>0</v>
      </c>
      <c r="I336" s="7">
        <v>0</v>
      </c>
    </row>
    <row r="339" spans="1:9" x14ac:dyDescent="0.25">
      <c r="A339" s="3" t="s">
        <v>157</v>
      </c>
    </row>
    <row r="340" spans="1:9" x14ac:dyDescent="0.25">
      <c r="B340" t="s">
        <v>14</v>
      </c>
      <c r="C340" t="s">
        <v>17</v>
      </c>
      <c r="D340" t="s">
        <v>21</v>
      </c>
      <c r="E340" t="s">
        <v>25</v>
      </c>
      <c r="F340" t="s">
        <v>13</v>
      </c>
      <c r="G340" t="s">
        <v>19</v>
      </c>
      <c r="H340" t="s">
        <v>20</v>
      </c>
      <c r="I340" t="s">
        <v>2</v>
      </c>
    </row>
    <row r="341" spans="1:9" x14ac:dyDescent="0.25">
      <c r="A341" s="1" t="s">
        <v>3</v>
      </c>
      <c r="B341" s="1">
        <v>5</v>
      </c>
      <c r="C341" s="1">
        <v>4</v>
      </c>
      <c r="D341" s="1">
        <v>2</v>
      </c>
      <c r="E341" s="1">
        <v>1</v>
      </c>
      <c r="F341" s="1">
        <v>3</v>
      </c>
      <c r="G341" s="1">
        <v>2</v>
      </c>
      <c r="H341" s="1">
        <v>4</v>
      </c>
      <c r="I341" s="1">
        <v>3</v>
      </c>
    </row>
    <row r="342" spans="1:9" x14ac:dyDescent="0.25">
      <c r="A342" s="1" t="s">
        <v>18</v>
      </c>
      <c r="B342" s="1">
        <v>1</v>
      </c>
      <c r="C342" s="1">
        <v>1</v>
      </c>
      <c r="D342" s="1">
        <v>1</v>
      </c>
      <c r="E342" s="1">
        <v>0</v>
      </c>
      <c r="I342" s="1">
        <v>0</v>
      </c>
    </row>
    <row r="343" spans="1:9" x14ac:dyDescent="0.25">
      <c r="A343" s="1" t="s">
        <v>16</v>
      </c>
      <c r="B343" s="1">
        <v>1</v>
      </c>
      <c r="C343" s="1">
        <v>5</v>
      </c>
      <c r="D343" s="1">
        <v>2</v>
      </c>
      <c r="E343" s="1">
        <v>1</v>
      </c>
      <c r="F343" s="1">
        <v>2</v>
      </c>
      <c r="G343" s="1">
        <v>1</v>
      </c>
      <c r="H343" s="1">
        <v>1</v>
      </c>
      <c r="I343" s="1">
        <v>3</v>
      </c>
    </row>
    <row r="344" spans="1:9" x14ac:dyDescent="0.25">
      <c r="A344" s="1" t="s">
        <v>22</v>
      </c>
      <c r="B344" s="1">
        <v>2</v>
      </c>
      <c r="C344" s="1">
        <v>3</v>
      </c>
      <c r="D344" s="1">
        <v>0</v>
      </c>
      <c r="E344" s="1">
        <v>2</v>
      </c>
      <c r="F344" s="1">
        <v>2</v>
      </c>
      <c r="G344" s="1">
        <v>4</v>
      </c>
      <c r="H344" s="1">
        <v>4</v>
      </c>
      <c r="I344" s="1">
        <v>1</v>
      </c>
    </row>
    <row r="345" spans="1:9" x14ac:dyDescent="0.25">
      <c r="A345" s="1" t="s">
        <v>4</v>
      </c>
      <c r="B345" s="1">
        <v>3</v>
      </c>
      <c r="C345" s="1">
        <v>5</v>
      </c>
      <c r="D345" s="1">
        <v>3</v>
      </c>
      <c r="E345" s="1">
        <v>3</v>
      </c>
      <c r="F345" s="1">
        <v>3</v>
      </c>
      <c r="G345" s="1">
        <v>3</v>
      </c>
      <c r="H345" s="1">
        <v>3</v>
      </c>
      <c r="I345" s="1">
        <v>5</v>
      </c>
    </row>
    <row r="346" spans="1:9" x14ac:dyDescent="0.25">
      <c r="A346" s="1" t="s">
        <v>6</v>
      </c>
      <c r="B346" s="1">
        <v>3</v>
      </c>
      <c r="C346" s="1">
        <v>3</v>
      </c>
      <c r="D346" s="1">
        <v>1</v>
      </c>
      <c r="E346" s="1">
        <v>3</v>
      </c>
      <c r="F346" s="1">
        <v>4</v>
      </c>
      <c r="G346" s="1">
        <v>5</v>
      </c>
      <c r="H346" s="1">
        <v>2</v>
      </c>
      <c r="I346" s="1">
        <v>2</v>
      </c>
    </row>
    <row r="347" spans="1:9" x14ac:dyDescent="0.25">
      <c r="A347" s="1" t="s">
        <v>5</v>
      </c>
      <c r="B347" s="1">
        <v>2</v>
      </c>
      <c r="C347" s="1">
        <v>4</v>
      </c>
      <c r="D347" s="1">
        <v>3</v>
      </c>
      <c r="E347" s="1">
        <v>2</v>
      </c>
      <c r="F347" s="1">
        <v>3</v>
      </c>
      <c r="G347" s="1">
        <v>3</v>
      </c>
      <c r="H347" s="1">
        <v>2</v>
      </c>
      <c r="I347" s="1">
        <v>5</v>
      </c>
    </row>
    <row r="348" spans="1:9" x14ac:dyDescent="0.25">
      <c r="A348" s="1" t="s">
        <v>8</v>
      </c>
      <c r="B348" s="1">
        <v>3</v>
      </c>
      <c r="C348" s="1">
        <v>2</v>
      </c>
      <c r="D348" s="1">
        <v>1</v>
      </c>
      <c r="E348" s="1">
        <v>3</v>
      </c>
      <c r="F348" s="1">
        <v>0</v>
      </c>
      <c r="G348" s="1">
        <v>1</v>
      </c>
      <c r="H348" s="1">
        <v>1</v>
      </c>
      <c r="I348" s="1">
        <v>3</v>
      </c>
    </row>
    <row r="349" spans="1:9" x14ac:dyDescent="0.25">
      <c r="A349" s="1" t="s">
        <v>12</v>
      </c>
      <c r="B349" s="1">
        <v>4</v>
      </c>
      <c r="C349" s="1">
        <v>3</v>
      </c>
      <c r="D349" s="1">
        <v>1</v>
      </c>
      <c r="E349" s="1">
        <v>2</v>
      </c>
      <c r="F349" s="1">
        <v>1</v>
      </c>
      <c r="G349" s="1">
        <v>3</v>
      </c>
      <c r="H349" s="1">
        <v>5</v>
      </c>
      <c r="I349" s="1">
        <v>4</v>
      </c>
    </row>
    <row r="350" spans="1:9" x14ac:dyDescent="0.25">
      <c r="A350" s="2" t="s">
        <v>23</v>
      </c>
      <c r="B350" s="1">
        <v>3</v>
      </c>
      <c r="C350" s="1">
        <v>1</v>
      </c>
      <c r="D350" s="1">
        <v>0</v>
      </c>
      <c r="E350" s="1">
        <v>2</v>
      </c>
      <c r="F350" s="1">
        <v>2</v>
      </c>
      <c r="G350" s="1">
        <v>1</v>
      </c>
      <c r="H350" s="1">
        <v>0</v>
      </c>
      <c r="I350" s="1">
        <v>2</v>
      </c>
    </row>
    <row r="351" spans="1:9" x14ac:dyDescent="0.25">
      <c r="A351" s="2" t="s">
        <v>11</v>
      </c>
      <c r="B351" s="1">
        <v>2</v>
      </c>
      <c r="C351" s="1">
        <v>1</v>
      </c>
      <c r="D351" s="1">
        <v>1</v>
      </c>
      <c r="E351" s="1">
        <v>1</v>
      </c>
      <c r="F351" s="1">
        <v>2</v>
      </c>
      <c r="G351" s="1">
        <v>3</v>
      </c>
      <c r="H351" s="1">
        <v>3</v>
      </c>
      <c r="I351" s="1">
        <v>1</v>
      </c>
    </row>
    <row r="352" spans="1:9" x14ac:dyDescent="0.25">
      <c r="A352" s="1" t="s">
        <v>9</v>
      </c>
      <c r="B352" s="1">
        <v>1</v>
      </c>
      <c r="C352" s="1">
        <v>1</v>
      </c>
      <c r="E352" s="1">
        <v>1</v>
      </c>
      <c r="F352" s="1">
        <v>0</v>
      </c>
      <c r="G352" s="1">
        <v>2</v>
      </c>
      <c r="H352" s="1">
        <v>1</v>
      </c>
      <c r="I352" s="1">
        <v>2</v>
      </c>
    </row>
    <row r="353" spans="1:9" x14ac:dyDescent="0.25">
      <c r="A353" s="1" t="s">
        <v>24</v>
      </c>
      <c r="B353" s="1">
        <v>2</v>
      </c>
      <c r="C353" s="1">
        <v>1</v>
      </c>
      <c r="E353" s="1">
        <v>1</v>
      </c>
      <c r="F353" s="1">
        <v>1</v>
      </c>
      <c r="G353" s="1">
        <v>1</v>
      </c>
      <c r="H353" s="1">
        <v>0</v>
      </c>
      <c r="I353" s="1">
        <v>1</v>
      </c>
    </row>
    <row r="354" spans="1:9" x14ac:dyDescent="0.25">
      <c r="A354" s="1" t="s">
        <v>26</v>
      </c>
      <c r="B354" s="1">
        <v>1</v>
      </c>
      <c r="C354" s="1">
        <v>0</v>
      </c>
      <c r="E354" s="1">
        <v>1</v>
      </c>
      <c r="G354" s="1">
        <v>0</v>
      </c>
      <c r="H354" s="1">
        <v>0</v>
      </c>
      <c r="I354" s="1">
        <v>1</v>
      </c>
    </row>
    <row r="355" spans="1:9" x14ac:dyDescent="0.25">
      <c r="A355" s="1" t="s">
        <v>7</v>
      </c>
      <c r="B355" s="1">
        <v>5</v>
      </c>
      <c r="C355" s="1">
        <v>5</v>
      </c>
      <c r="D355" s="1">
        <v>0</v>
      </c>
      <c r="E355" s="1">
        <v>1</v>
      </c>
      <c r="F355" s="1">
        <v>2</v>
      </c>
      <c r="G355" s="1">
        <v>1</v>
      </c>
      <c r="H355" s="1">
        <v>3</v>
      </c>
      <c r="I355" s="1">
        <v>6</v>
      </c>
    </row>
    <row r="356" spans="1:9" x14ac:dyDescent="0.25">
      <c r="A356" s="1" t="s">
        <v>10</v>
      </c>
      <c r="F356" s="1">
        <v>0</v>
      </c>
      <c r="H356" s="1">
        <v>0</v>
      </c>
      <c r="I356" s="1">
        <v>0</v>
      </c>
    </row>
    <row r="359" spans="1:9" x14ac:dyDescent="0.25">
      <c r="A359" s="3" t="s">
        <v>158</v>
      </c>
    </row>
    <row r="360" spans="1:9" x14ac:dyDescent="0.25">
      <c r="B360" t="s">
        <v>14</v>
      </c>
      <c r="C360" t="s">
        <v>17</v>
      </c>
      <c r="D360" t="s">
        <v>21</v>
      </c>
      <c r="E360" t="s">
        <v>25</v>
      </c>
      <c r="F360" t="s">
        <v>13</v>
      </c>
      <c r="G360" t="s">
        <v>19</v>
      </c>
      <c r="H360" t="s">
        <v>20</v>
      </c>
      <c r="I360" t="s">
        <v>2</v>
      </c>
    </row>
    <row r="361" spans="1:9" x14ac:dyDescent="0.25">
      <c r="A361" s="1" t="s">
        <v>3</v>
      </c>
      <c r="B361" s="1">
        <v>7</v>
      </c>
      <c r="C361" s="1">
        <v>7</v>
      </c>
      <c r="D361" s="1">
        <v>3</v>
      </c>
      <c r="E361" s="1">
        <v>4</v>
      </c>
      <c r="F361" s="1">
        <v>5</v>
      </c>
      <c r="G361" s="1">
        <v>5</v>
      </c>
      <c r="H361" s="1">
        <v>6</v>
      </c>
      <c r="I361" s="1">
        <v>6</v>
      </c>
    </row>
    <row r="362" spans="1:9" x14ac:dyDescent="0.25">
      <c r="A362" s="1" t="s">
        <v>18</v>
      </c>
      <c r="B362" s="1">
        <v>1</v>
      </c>
      <c r="C362" s="1">
        <v>3</v>
      </c>
      <c r="D362" s="1">
        <v>3</v>
      </c>
      <c r="E362" s="1">
        <v>1</v>
      </c>
      <c r="I362" s="1">
        <v>1</v>
      </c>
    </row>
    <row r="363" spans="1:9" x14ac:dyDescent="0.25">
      <c r="A363" s="1" t="s">
        <v>16</v>
      </c>
      <c r="B363" s="1">
        <v>5</v>
      </c>
      <c r="C363" s="1">
        <v>7</v>
      </c>
      <c r="D363" s="1">
        <v>3</v>
      </c>
      <c r="E363" s="1">
        <v>5</v>
      </c>
      <c r="F363" s="1">
        <v>3</v>
      </c>
      <c r="G363" s="1">
        <v>4</v>
      </c>
      <c r="H363" s="1">
        <v>4</v>
      </c>
      <c r="I363" s="1">
        <v>6</v>
      </c>
    </row>
    <row r="364" spans="1:9" x14ac:dyDescent="0.25">
      <c r="A364" s="1" t="s">
        <v>22</v>
      </c>
      <c r="B364" s="1">
        <v>5</v>
      </c>
      <c r="C364" s="1">
        <v>6</v>
      </c>
      <c r="D364" s="1">
        <v>3</v>
      </c>
      <c r="E364" s="1">
        <v>3</v>
      </c>
      <c r="F364" s="1">
        <v>3</v>
      </c>
      <c r="G364" s="1">
        <v>6</v>
      </c>
      <c r="H364" s="1">
        <v>5</v>
      </c>
      <c r="I364" s="1">
        <v>6</v>
      </c>
    </row>
    <row r="365" spans="1:9" x14ac:dyDescent="0.25">
      <c r="A365" s="1" t="s">
        <v>4</v>
      </c>
      <c r="B365" s="1">
        <v>7</v>
      </c>
      <c r="C365" s="1">
        <v>8</v>
      </c>
      <c r="D365" s="1">
        <v>3</v>
      </c>
      <c r="E365" s="1">
        <v>5</v>
      </c>
      <c r="F365" s="1">
        <v>5</v>
      </c>
      <c r="G365" s="1">
        <v>5</v>
      </c>
      <c r="H365" s="1">
        <v>6</v>
      </c>
      <c r="I365" s="1">
        <v>8</v>
      </c>
    </row>
    <row r="366" spans="1:9" x14ac:dyDescent="0.25">
      <c r="A366" s="1" t="s">
        <v>6</v>
      </c>
      <c r="B366" s="1">
        <v>6</v>
      </c>
      <c r="C366" s="1">
        <v>6</v>
      </c>
      <c r="D366" s="1">
        <v>2</v>
      </c>
      <c r="E366" s="1">
        <v>3</v>
      </c>
      <c r="F366" s="1">
        <v>5</v>
      </c>
      <c r="G366" s="1">
        <v>6</v>
      </c>
      <c r="H366" s="1">
        <v>5</v>
      </c>
      <c r="I366" s="1">
        <v>7</v>
      </c>
    </row>
    <row r="367" spans="1:9" x14ac:dyDescent="0.25">
      <c r="A367" s="1" t="s">
        <v>5</v>
      </c>
      <c r="B367" s="1">
        <v>8</v>
      </c>
      <c r="C367" s="1">
        <v>8</v>
      </c>
      <c r="D367" s="1">
        <v>3</v>
      </c>
      <c r="E367" s="1">
        <v>5</v>
      </c>
      <c r="F367" s="1">
        <v>5</v>
      </c>
      <c r="G367" s="1">
        <v>6</v>
      </c>
      <c r="H367" s="1">
        <v>5</v>
      </c>
      <c r="I367" s="1">
        <v>7</v>
      </c>
    </row>
    <row r="368" spans="1:9" x14ac:dyDescent="0.25">
      <c r="A368" s="1" t="s">
        <v>8</v>
      </c>
      <c r="B368" s="1">
        <v>6</v>
      </c>
      <c r="C368" s="1">
        <v>5</v>
      </c>
      <c r="D368" s="1">
        <v>1</v>
      </c>
      <c r="E368" s="1">
        <v>5</v>
      </c>
      <c r="F368" s="1">
        <v>2</v>
      </c>
      <c r="G368" s="1">
        <v>3</v>
      </c>
      <c r="H368" s="1">
        <v>3</v>
      </c>
      <c r="I368" s="1">
        <v>5</v>
      </c>
    </row>
    <row r="369" spans="1:9" x14ac:dyDescent="0.25">
      <c r="A369" s="1" t="s">
        <v>12</v>
      </c>
      <c r="B369" s="1">
        <v>7</v>
      </c>
      <c r="C369" s="1">
        <v>7</v>
      </c>
      <c r="D369" s="1">
        <v>3</v>
      </c>
      <c r="E369" s="1">
        <v>5</v>
      </c>
      <c r="F369" s="1">
        <v>5</v>
      </c>
      <c r="G369" s="1">
        <v>6</v>
      </c>
      <c r="H369" s="1">
        <v>6</v>
      </c>
      <c r="I369" s="1">
        <v>8</v>
      </c>
    </row>
    <row r="370" spans="1:9" x14ac:dyDescent="0.25">
      <c r="A370" s="2" t="s">
        <v>23</v>
      </c>
      <c r="B370" s="1">
        <v>5</v>
      </c>
      <c r="C370" s="1">
        <v>3</v>
      </c>
      <c r="D370" s="1">
        <v>3</v>
      </c>
      <c r="E370" s="1">
        <v>3</v>
      </c>
      <c r="F370" s="1">
        <v>4</v>
      </c>
      <c r="G370" s="1">
        <v>1</v>
      </c>
      <c r="H370" s="1">
        <v>3</v>
      </c>
      <c r="I370" s="1">
        <v>4</v>
      </c>
    </row>
    <row r="371" spans="1:9" x14ac:dyDescent="0.25">
      <c r="A371" s="2" t="s">
        <v>11</v>
      </c>
      <c r="B371" s="1">
        <v>5</v>
      </c>
      <c r="C371" s="1">
        <v>4</v>
      </c>
      <c r="D371" s="1">
        <v>2</v>
      </c>
      <c r="E371" s="1">
        <v>1</v>
      </c>
      <c r="F371" s="1">
        <v>4</v>
      </c>
      <c r="G371" s="1">
        <v>3</v>
      </c>
      <c r="H371" s="1">
        <v>3</v>
      </c>
      <c r="I371" s="1">
        <v>2</v>
      </c>
    </row>
    <row r="372" spans="1:9" x14ac:dyDescent="0.25">
      <c r="A372" s="1" t="s">
        <v>9</v>
      </c>
      <c r="B372" s="1">
        <v>4</v>
      </c>
      <c r="C372" s="1">
        <v>3</v>
      </c>
      <c r="E372" s="1">
        <v>3</v>
      </c>
      <c r="F372" s="1">
        <v>2</v>
      </c>
      <c r="G372" s="1">
        <v>2</v>
      </c>
      <c r="H372" s="1">
        <v>3</v>
      </c>
      <c r="I372" s="1">
        <v>7</v>
      </c>
    </row>
    <row r="373" spans="1:9" x14ac:dyDescent="0.25">
      <c r="A373" s="1" t="s">
        <v>24</v>
      </c>
      <c r="B373" s="1">
        <v>4</v>
      </c>
      <c r="C373" s="1">
        <v>3</v>
      </c>
      <c r="E373" s="1">
        <v>2</v>
      </c>
      <c r="F373" s="1">
        <v>1</v>
      </c>
      <c r="G373" s="1">
        <v>3</v>
      </c>
      <c r="H373" s="1">
        <v>3</v>
      </c>
      <c r="I373" s="1">
        <v>3</v>
      </c>
    </row>
    <row r="374" spans="1:9" x14ac:dyDescent="0.25">
      <c r="A374" s="1" t="s">
        <v>26</v>
      </c>
      <c r="B374" s="1">
        <v>1</v>
      </c>
      <c r="C374" s="1">
        <v>1</v>
      </c>
      <c r="E374" s="1">
        <v>1</v>
      </c>
      <c r="G374" s="1">
        <v>1</v>
      </c>
      <c r="H374" s="1">
        <v>2</v>
      </c>
      <c r="I374" s="1">
        <v>1</v>
      </c>
    </row>
    <row r="375" spans="1:9" x14ac:dyDescent="0.25">
      <c r="A375" s="1" t="s">
        <v>7</v>
      </c>
      <c r="B375" s="1">
        <v>5</v>
      </c>
      <c r="C375" s="1">
        <v>5</v>
      </c>
      <c r="D375" s="1">
        <v>1</v>
      </c>
      <c r="E375" s="1">
        <v>3</v>
      </c>
      <c r="F375" s="1">
        <v>4</v>
      </c>
      <c r="G375" s="1">
        <v>4</v>
      </c>
      <c r="H375" s="1">
        <v>3</v>
      </c>
      <c r="I375" s="1">
        <v>7</v>
      </c>
    </row>
    <row r="376" spans="1:9" x14ac:dyDescent="0.25">
      <c r="A376" s="1" t="s">
        <v>10</v>
      </c>
      <c r="F376" s="1">
        <v>2</v>
      </c>
      <c r="H376" s="1">
        <v>1</v>
      </c>
      <c r="I376" s="1">
        <v>1</v>
      </c>
    </row>
    <row r="379" spans="1:9" x14ac:dyDescent="0.25">
      <c r="A379" s="19" t="s">
        <v>199</v>
      </c>
      <c r="B379"/>
      <c r="C379"/>
      <c r="D379"/>
      <c r="E379"/>
      <c r="F379"/>
      <c r="G379"/>
    </row>
    <row r="380" spans="1:9" x14ac:dyDescent="0.25">
      <c r="A380" s="30" t="s">
        <v>173</v>
      </c>
      <c r="B380" s="30" t="s">
        <v>191</v>
      </c>
      <c r="C380" s="30" t="s">
        <v>185</v>
      </c>
      <c r="D380" s="30" t="s">
        <v>180</v>
      </c>
      <c r="E380" s="30" t="s">
        <v>186</v>
      </c>
      <c r="F380" s="30" t="s">
        <v>190</v>
      </c>
      <c r="G380" s="30" t="s">
        <v>195</v>
      </c>
    </row>
    <row r="381" spans="1:9" x14ac:dyDescent="0.25">
      <c r="A381" s="30" t="s">
        <v>174</v>
      </c>
      <c r="B381" s="30" t="s">
        <v>196</v>
      </c>
      <c r="C381" s="30" t="s">
        <v>194</v>
      </c>
      <c r="D381" s="30" t="s">
        <v>198</v>
      </c>
      <c r="E381" s="30" t="s">
        <v>179</v>
      </c>
      <c r="F381" s="30" t="s">
        <v>197</v>
      </c>
      <c r="G381" s="30"/>
    </row>
    <row r="382" spans="1:9" x14ac:dyDescent="0.25">
      <c r="A382" s="30" t="s">
        <v>175</v>
      </c>
      <c r="B382" s="30" t="s">
        <v>187</v>
      </c>
      <c r="C382" s="30" t="s">
        <v>192</v>
      </c>
      <c r="D382" s="30" t="s">
        <v>189</v>
      </c>
      <c r="E382" s="30" t="s">
        <v>193</v>
      </c>
      <c r="F382" s="30" t="s">
        <v>181</v>
      </c>
      <c r="G382" s="30"/>
    </row>
    <row r="383" spans="1:9" x14ac:dyDescent="0.25">
      <c r="A383" s="30" t="s">
        <v>176</v>
      </c>
      <c r="B383" s="30" t="s">
        <v>183</v>
      </c>
      <c r="C383" s="30" t="s">
        <v>182</v>
      </c>
      <c r="D383" s="30" t="s">
        <v>188</v>
      </c>
      <c r="E383" s="30" t="s">
        <v>184</v>
      </c>
      <c r="F383" s="30"/>
      <c r="G383" s="30"/>
    </row>
    <row r="399" spans="1:5" x14ac:dyDescent="0.25">
      <c r="A399" s="4" t="s">
        <v>200</v>
      </c>
    </row>
    <row r="400" spans="1:5" x14ac:dyDescent="0.25">
      <c r="A400" t="s">
        <v>27</v>
      </c>
      <c r="B400" t="s">
        <v>173</v>
      </c>
      <c r="C400" t="s">
        <v>174</v>
      </c>
      <c r="D400" t="s">
        <v>175</v>
      </c>
      <c r="E400" t="s">
        <v>176</v>
      </c>
    </row>
    <row r="401" spans="1:6" x14ac:dyDescent="0.25">
      <c r="A401" s="13" t="s">
        <v>3</v>
      </c>
      <c r="B401" s="28">
        <v>17</v>
      </c>
      <c r="C401" s="28">
        <v>6</v>
      </c>
      <c r="D401" s="28">
        <v>6</v>
      </c>
      <c r="E401" s="28">
        <v>14</v>
      </c>
      <c r="F401" s="14"/>
    </row>
    <row r="402" spans="1:6" x14ac:dyDescent="0.25">
      <c r="A402" s="13" t="s">
        <v>18</v>
      </c>
      <c r="B402" s="28">
        <v>0</v>
      </c>
      <c r="C402" s="28">
        <v>0</v>
      </c>
      <c r="D402" s="28">
        <v>9</v>
      </c>
      <c r="E402" s="28">
        <v>0</v>
      </c>
      <c r="F402" s="14"/>
    </row>
    <row r="403" spans="1:6" x14ac:dyDescent="0.25">
      <c r="A403" s="13" t="s">
        <v>16</v>
      </c>
      <c r="B403" s="28">
        <v>3</v>
      </c>
      <c r="C403" s="28">
        <v>0</v>
      </c>
      <c r="D403" s="28">
        <v>0</v>
      </c>
      <c r="E403" s="28">
        <v>30</v>
      </c>
    </row>
    <row r="404" spans="1:6" x14ac:dyDescent="0.25">
      <c r="A404" s="13" t="s">
        <v>22</v>
      </c>
      <c r="B404" s="28">
        <v>6</v>
      </c>
      <c r="C404" s="28">
        <v>7</v>
      </c>
      <c r="D404" s="28">
        <v>17</v>
      </c>
      <c r="E404" s="28">
        <v>4</v>
      </c>
    </row>
    <row r="405" spans="1:6" x14ac:dyDescent="0.25">
      <c r="A405" s="13" t="s">
        <v>4</v>
      </c>
      <c r="B405" s="28">
        <v>14</v>
      </c>
      <c r="C405" s="28">
        <v>2</v>
      </c>
      <c r="D405" s="28">
        <v>7</v>
      </c>
      <c r="E405" s="28">
        <v>20</v>
      </c>
    </row>
    <row r="406" spans="1:6" x14ac:dyDescent="0.25">
      <c r="A406" s="13" t="s">
        <v>6</v>
      </c>
      <c r="B406" s="28">
        <v>4</v>
      </c>
      <c r="C406" s="28">
        <v>9</v>
      </c>
      <c r="D406" s="28">
        <v>8</v>
      </c>
      <c r="E406" s="28">
        <v>15</v>
      </c>
    </row>
    <row r="407" spans="1:6" x14ac:dyDescent="0.25">
      <c r="A407" s="13" t="s">
        <v>5</v>
      </c>
      <c r="B407" s="28">
        <v>1</v>
      </c>
      <c r="C407" s="28">
        <v>16</v>
      </c>
      <c r="D407" s="28">
        <v>22</v>
      </c>
      <c r="E407" s="28">
        <v>4</v>
      </c>
    </row>
    <row r="408" spans="1:6" x14ac:dyDescent="0.25">
      <c r="A408" s="13" t="s">
        <v>8</v>
      </c>
      <c r="B408" s="28">
        <v>18</v>
      </c>
      <c r="C408" s="28">
        <v>2</v>
      </c>
      <c r="D408" s="28">
        <v>6</v>
      </c>
      <c r="E408" s="28">
        <v>3</v>
      </c>
    </row>
    <row r="409" spans="1:6" x14ac:dyDescent="0.25">
      <c r="A409" s="13" t="s">
        <v>12</v>
      </c>
      <c r="B409" s="28">
        <v>36</v>
      </c>
      <c r="C409" s="28">
        <v>3</v>
      </c>
      <c r="D409" s="28">
        <v>3</v>
      </c>
      <c r="E409" s="28">
        <v>1</v>
      </c>
    </row>
    <row r="410" spans="1:6" x14ac:dyDescent="0.25">
      <c r="A410" s="13" t="s">
        <v>23</v>
      </c>
      <c r="B410" s="28">
        <v>12</v>
      </c>
      <c r="C410" s="28">
        <v>2</v>
      </c>
      <c r="D410" s="28">
        <v>3</v>
      </c>
      <c r="E410" s="28">
        <v>8</v>
      </c>
    </row>
    <row r="411" spans="1:6" x14ac:dyDescent="0.25">
      <c r="A411" s="13" t="s">
        <v>11</v>
      </c>
      <c r="B411" s="28">
        <v>0</v>
      </c>
      <c r="C411" s="28">
        <v>17</v>
      </c>
      <c r="D411" s="28">
        <v>0</v>
      </c>
      <c r="E411" s="28">
        <v>3</v>
      </c>
    </row>
    <row r="412" spans="1:6" x14ac:dyDescent="0.25">
      <c r="A412" s="13" t="s">
        <v>9</v>
      </c>
      <c r="B412" s="28">
        <v>11</v>
      </c>
      <c r="C412" s="28">
        <v>5</v>
      </c>
      <c r="D412" s="28">
        <v>3</v>
      </c>
      <c r="E412" s="28">
        <v>3</v>
      </c>
    </row>
    <row r="413" spans="1:6" x14ac:dyDescent="0.25">
      <c r="A413" s="13" t="s">
        <v>24</v>
      </c>
      <c r="B413" s="28">
        <v>3</v>
      </c>
      <c r="C413" s="28">
        <v>6</v>
      </c>
      <c r="D413" s="28">
        <v>2</v>
      </c>
      <c r="E413" s="28">
        <v>8</v>
      </c>
    </row>
    <row r="414" spans="1:6" x14ac:dyDescent="0.25">
      <c r="A414" s="13" t="s">
        <v>26</v>
      </c>
      <c r="B414" s="28">
        <v>0</v>
      </c>
      <c r="C414" s="28">
        <v>3</v>
      </c>
      <c r="D414" s="28">
        <v>3</v>
      </c>
      <c r="E414" s="28">
        <v>1</v>
      </c>
    </row>
    <row r="415" spans="1:6" x14ac:dyDescent="0.25">
      <c r="A415" s="13" t="s">
        <v>7</v>
      </c>
      <c r="B415" s="28">
        <v>10</v>
      </c>
      <c r="C415" s="28">
        <v>1</v>
      </c>
      <c r="D415" s="28">
        <v>16</v>
      </c>
      <c r="E415" s="28">
        <v>1</v>
      </c>
    </row>
    <row r="416" spans="1:6" x14ac:dyDescent="0.25">
      <c r="A416" s="13" t="s">
        <v>10</v>
      </c>
      <c r="B416" s="28">
        <v>0</v>
      </c>
      <c r="C416" s="28">
        <v>1</v>
      </c>
      <c r="D416" s="28">
        <v>0</v>
      </c>
      <c r="E416" s="28">
        <v>3</v>
      </c>
    </row>
    <row r="417" spans="1:8" x14ac:dyDescent="0.25">
      <c r="B417" s="14">
        <f>SUM(B401:B416)</f>
        <v>135</v>
      </c>
      <c r="C417" s="14">
        <f t="shared" ref="C417:E417" si="24">SUM(C401:C416)</f>
        <v>80</v>
      </c>
      <c r="D417" s="14">
        <f t="shared" si="24"/>
        <v>105</v>
      </c>
      <c r="E417" s="14">
        <f t="shared" si="24"/>
        <v>118</v>
      </c>
    </row>
    <row r="419" spans="1:8" x14ac:dyDescent="0.25">
      <c r="A419" s="4" t="s">
        <v>201</v>
      </c>
    </row>
    <row r="420" spans="1:8" x14ac:dyDescent="0.25">
      <c r="A420" t="s">
        <v>27</v>
      </c>
      <c r="B420" t="s">
        <v>173</v>
      </c>
      <c r="C420" t="s">
        <v>174</v>
      </c>
      <c r="D420" t="s">
        <v>175</v>
      </c>
      <c r="E420" t="s">
        <v>176</v>
      </c>
    </row>
    <row r="421" spans="1:8" x14ac:dyDescent="0.25">
      <c r="A421" s="13" t="s">
        <v>3</v>
      </c>
      <c r="B421" s="6">
        <v>0.39534883720930231</v>
      </c>
      <c r="C421" s="6">
        <v>0.13953488372093023</v>
      </c>
      <c r="D421" s="6">
        <v>0.13953488372093023</v>
      </c>
      <c r="E421" s="6">
        <v>0.32558139534883723</v>
      </c>
      <c r="F421" s="7">
        <f>MAX(B421:E421)</f>
        <v>0.39534883720930231</v>
      </c>
    </row>
    <row r="422" spans="1:8" x14ac:dyDescent="0.25">
      <c r="A422" s="13" t="s">
        <v>18</v>
      </c>
      <c r="B422" s="6">
        <v>0</v>
      </c>
      <c r="C422" s="6">
        <v>0</v>
      </c>
      <c r="D422" s="6">
        <v>1</v>
      </c>
      <c r="E422" s="6">
        <v>0</v>
      </c>
      <c r="F422" s="7">
        <f t="shared" ref="F422:F436" si="25">MAX(B422:E422)</f>
        <v>1</v>
      </c>
    </row>
    <row r="423" spans="1:8" x14ac:dyDescent="0.25">
      <c r="A423" s="13" t="s">
        <v>16</v>
      </c>
      <c r="B423" s="6">
        <v>9.0909090909090912E-2</v>
      </c>
      <c r="C423" s="6">
        <v>0</v>
      </c>
      <c r="D423" s="6">
        <v>0</v>
      </c>
      <c r="E423" s="6">
        <v>0.90909090909090906</v>
      </c>
      <c r="F423" s="7">
        <f t="shared" si="25"/>
        <v>0.90909090909090906</v>
      </c>
    </row>
    <row r="424" spans="1:8" x14ac:dyDescent="0.25">
      <c r="A424" s="13" t="s">
        <v>22</v>
      </c>
      <c r="B424" s="6">
        <v>0.17647058823529413</v>
      </c>
      <c r="C424" s="6">
        <v>0.20588235294117646</v>
      </c>
      <c r="D424" s="6">
        <v>0.5</v>
      </c>
      <c r="E424" s="6">
        <v>0.11764705882352941</v>
      </c>
      <c r="F424" s="7">
        <f t="shared" si="25"/>
        <v>0.5</v>
      </c>
    </row>
    <row r="425" spans="1:8" x14ac:dyDescent="0.25">
      <c r="A425" s="13" t="s">
        <v>4</v>
      </c>
      <c r="B425" s="6">
        <v>0.32558139534883723</v>
      </c>
      <c r="C425" s="6">
        <v>4.6511627906976744E-2</v>
      </c>
      <c r="D425" s="6">
        <v>0.16279069767441862</v>
      </c>
      <c r="E425" s="6">
        <v>0.46511627906976744</v>
      </c>
      <c r="F425" s="7">
        <f t="shared" si="25"/>
        <v>0.46511627906976744</v>
      </c>
    </row>
    <row r="426" spans="1:8" x14ac:dyDescent="0.25">
      <c r="A426" s="13" t="s">
        <v>6</v>
      </c>
      <c r="B426" s="6">
        <v>0.1111111111111111</v>
      </c>
      <c r="C426" s="6">
        <v>0.25</v>
      </c>
      <c r="D426" s="6">
        <v>0.22222222222222221</v>
      </c>
      <c r="E426" s="6">
        <v>0.41666666666666669</v>
      </c>
      <c r="F426" s="7">
        <f t="shared" si="25"/>
        <v>0.41666666666666669</v>
      </c>
    </row>
    <row r="427" spans="1:8" x14ac:dyDescent="0.25">
      <c r="A427" s="13" t="s">
        <v>5</v>
      </c>
      <c r="B427" s="6">
        <v>2.3255813953488372E-2</v>
      </c>
      <c r="C427" s="6">
        <v>0.37209302325581395</v>
      </c>
      <c r="D427" s="6">
        <v>0.51162790697674421</v>
      </c>
      <c r="E427" s="6">
        <v>9.3023255813953487E-2</v>
      </c>
      <c r="F427" s="7">
        <f t="shared" si="25"/>
        <v>0.51162790697674421</v>
      </c>
    </row>
    <row r="428" spans="1:8" x14ac:dyDescent="0.25">
      <c r="A428" s="13" t="s">
        <v>8</v>
      </c>
      <c r="B428" s="6">
        <v>0.62068965517241381</v>
      </c>
      <c r="C428" s="6">
        <v>6.8965517241379309E-2</v>
      </c>
      <c r="D428" s="6">
        <v>0.20689655172413793</v>
      </c>
      <c r="E428" s="6">
        <v>0.10344827586206896</v>
      </c>
      <c r="F428" s="7">
        <f t="shared" si="25"/>
        <v>0.62068965517241381</v>
      </c>
      <c r="H428" s="1" t="s">
        <v>204</v>
      </c>
    </row>
    <row r="429" spans="1:8" x14ac:dyDescent="0.25">
      <c r="A429" s="13" t="s">
        <v>12</v>
      </c>
      <c r="B429" s="6">
        <v>0.83720930232558144</v>
      </c>
      <c r="C429" s="6">
        <v>6.9767441860465115E-2</v>
      </c>
      <c r="D429" s="6">
        <v>6.9767441860465115E-2</v>
      </c>
      <c r="E429" s="6">
        <v>2.3255813953488372E-2</v>
      </c>
      <c r="F429" s="7">
        <f t="shared" si="25"/>
        <v>0.83720930232558144</v>
      </c>
    </row>
    <row r="430" spans="1:8" x14ac:dyDescent="0.25">
      <c r="A430" s="13" t="s">
        <v>23</v>
      </c>
      <c r="B430" s="6">
        <v>0.48</v>
      </c>
      <c r="C430" s="6">
        <v>0.08</v>
      </c>
      <c r="D430" s="6">
        <v>0.12</v>
      </c>
      <c r="E430" s="6">
        <v>0.32</v>
      </c>
      <c r="F430" s="7">
        <f t="shared" si="25"/>
        <v>0.48</v>
      </c>
    </row>
    <row r="431" spans="1:8" x14ac:dyDescent="0.25">
      <c r="A431" s="13" t="s">
        <v>11</v>
      </c>
      <c r="B431" s="6">
        <v>0</v>
      </c>
      <c r="C431" s="6">
        <v>0.85</v>
      </c>
      <c r="D431" s="6">
        <v>0</v>
      </c>
      <c r="E431" s="6">
        <v>0.15</v>
      </c>
      <c r="F431" s="7">
        <f t="shared" si="25"/>
        <v>0.85</v>
      </c>
    </row>
    <row r="432" spans="1:8" x14ac:dyDescent="0.25">
      <c r="A432" s="13" t="s">
        <v>9</v>
      </c>
      <c r="B432" s="6">
        <v>0.5</v>
      </c>
      <c r="C432" s="6">
        <v>0.22727272727272727</v>
      </c>
      <c r="D432" s="6">
        <v>0.13636363636363635</v>
      </c>
      <c r="E432" s="6">
        <v>0.13636363636363635</v>
      </c>
      <c r="F432" s="7">
        <f t="shared" si="25"/>
        <v>0.5</v>
      </c>
    </row>
    <row r="433" spans="1:22" x14ac:dyDescent="0.25">
      <c r="A433" s="13" t="s">
        <v>24</v>
      </c>
      <c r="B433" s="6">
        <v>0.15789473684210525</v>
      </c>
      <c r="C433" s="6">
        <v>0.31578947368421051</v>
      </c>
      <c r="D433" s="6">
        <v>0.10526315789473684</v>
      </c>
      <c r="E433" s="6">
        <v>0.42105263157894735</v>
      </c>
      <c r="F433" s="7">
        <f t="shared" si="25"/>
        <v>0.42105263157894735</v>
      </c>
    </row>
    <row r="434" spans="1:22" x14ac:dyDescent="0.25">
      <c r="A434" s="13" t="s">
        <v>26</v>
      </c>
      <c r="B434" s="6">
        <v>0</v>
      </c>
      <c r="C434" s="6">
        <v>0.42857142857142855</v>
      </c>
      <c r="D434" s="6">
        <v>0.42857142857142855</v>
      </c>
      <c r="E434" s="6">
        <v>0.14285714285714285</v>
      </c>
      <c r="F434" s="7">
        <f t="shared" si="25"/>
        <v>0.42857142857142855</v>
      </c>
    </row>
    <row r="435" spans="1:22" x14ac:dyDescent="0.25">
      <c r="A435" s="13" t="s">
        <v>7</v>
      </c>
      <c r="B435" s="6">
        <v>0.35714285714285715</v>
      </c>
      <c r="C435" s="6">
        <v>3.5714285714285712E-2</v>
      </c>
      <c r="D435" s="6">
        <v>0.5714285714285714</v>
      </c>
      <c r="E435" s="6">
        <v>3.5714285714285712E-2</v>
      </c>
      <c r="F435" s="7">
        <f t="shared" si="25"/>
        <v>0.5714285714285714</v>
      </c>
    </row>
    <row r="436" spans="1:22" x14ac:dyDescent="0.25">
      <c r="A436" s="13" t="s">
        <v>10</v>
      </c>
      <c r="B436" s="6">
        <v>0</v>
      </c>
      <c r="C436" s="6">
        <v>0.25</v>
      </c>
      <c r="D436" s="6">
        <v>0</v>
      </c>
      <c r="E436" s="6">
        <v>0.75</v>
      </c>
      <c r="F436" s="7">
        <f t="shared" si="25"/>
        <v>0.75</v>
      </c>
    </row>
    <row r="439" spans="1:22" x14ac:dyDescent="0.25">
      <c r="A439" s="4" t="s">
        <v>203</v>
      </c>
    </row>
    <row r="440" spans="1:22" x14ac:dyDescent="0.25">
      <c r="B440" t="s">
        <v>173</v>
      </c>
      <c r="C440" t="s">
        <v>174</v>
      </c>
      <c r="D440" t="s">
        <v>175</v>
      </c>
      <c r="E440" t="s">
        <v>176</v>
      </c>
    </row>
    <row r="441" spans="1:22" x14ac:dyDescent="0.25">
      <c r="A441" s="1" t="s">
        <v>202</v>
      </c>
      <c r="B441" s="7">
        <v>0.32692307692307693</v>
      </c>
      <c r="C441" s="7">
        <v>0.11538461538461539</v>
      </c>
      <c r="D441" s="7">
        <v>0.28846153846153844</v>
      </c>
      <c r="E441" s="7">
        <v>0.26923076923076922</v>
      </c>
    </row>
    <row r="443" spans="1:22" x14ac:dyDescent="0.25">
      <c r="H443"/>
      <c r="I443"/>
      <c r="J443"/>
      <c r="K443"/>
      <c r="L443"/>
    </row>
    <row r="445" spans="1:22" x14ac:dyDescent="0.25">
      <c r="A445" t="s">
        <v>27</v>
      </c>
      <c r="B445" s="31" t="s">
        <v>191</v>
      </c>
      <c r="C445" s="31" t="s">
        <v>185</v>
      </c>
      <c r="D445" s="31" t="s">
        <v>180</v>
      </c>
      <c r="E445" s="31" t="s">
        <v>186</v>
      </c>
      <c r="F445" s="31" t="s">
        <v>190</v>
      </c>
      <c r="G445" s="31" t="s">
        <v>195</v>
      </c>
      <c r="H445" s="31" t="s">
        <v>196</v>
      </c>
      <c r="I445" s="31" t="s">
        <v>194</v>
      </c>
      <c r="J445" s="31" t="s">
        <v>198</v>
      </c>
      <c r="K445" s="31" t="s">
        <v>179</v>
      </c>
      <c r="L445" s="31" t="s">
        <v>197</v>
      </c>
      <c r="M445" s="31" t="s">
        <v>187</v>
      </c>
      <c r="N445" s="31" t="s">
        <v>192</v>
      </c>
      <c r="O445" s="31" t="s">
        <v>189</v>
      </c>
      <c r="P445" s="31" t="s">
        <v>193</v>
      </c>
      <c r="Q445" s="31" t="s">
        <v>181</v>
      </c>
      <c r="R445" s="31" t="s">
        <v>183</v>
      </c>
      <c r="S445" s="31" t="s">
        <v>182</v>
      </c>
      <c r="T445" s="31" t="s">
        <v>188</v>
      </c>
      <c r="U445" s="31" t="s">
        <v>184</v>
      </c>
    </row>
    <row r="446" spans="1:22" x14ac:dyDescent="0.25">
      <c r="A446" s="13" t="s">
        <v>3</v>
      </c>
      <c r="B446" s="9">
        <v>0</v>
      </c>
      <c r="C446" s="9">
        <v>10</v>
      </c>
      <c r="D446" s="9">
        <v>4</v>
      </c>
      <c r="E446" s="9">
        <v>0</v>
      </c>
      <c r="F446" s="9">
        <v>1</v>
      </c>
      <c r="G446" s="9">
        <v>2</v>
      </c>
      <c r="H446" s="9">
        <v>0</v>
      </c>
      <c r="I446" s="9">
        <v>3</v>
      </c>
      <c r="J446" s="9">
        <v>0</v>
      </c>
      <c r="K446" s="9">
        <v>3</v>
      </c>
      <c r="L446" s="9">
        <v>0</v>
      </c>
      <c r="M446" s="9">
        <v>2</v>
      </c>
      <c r="N446" s="9">
        <v>1</v>
      </c>
      <c r="O446" s="9">
        <v>0</v>
      </c>
      <c r="P446" s="9">
        <v>3</v>
      </c>
      <c r="Q446" s="9">
        <v>0</v>
      </c>
      <c r="R446" s="9">
        <v>4</v>
      </c>
      <c r="S446" s="9">
        <v>0</v>
      </c>
      <c r="T446" s="9">
        <v>2</v>
      </c>
      <c r="U446" s="9">
        <v>4</v>
      </c>
      <c r="V446" s="1">
        <f>SUM(B446:U446)</f>
        <v>39</v>
      </c>
    </row>
    <row r="447" spans="1:22" x14ac:dyDescent="0.25">
      <c r="A447" s="13" t="s">
        <v>18</v>
      </c>
      <c r="B447" s="9">
        <v>0</v>
      </c>
      <c r="C447" s="9">
        <v>0</v>
      </c>
      <c r="D447" s="9">
        <v>0</v>
      </c>
      <c r="E447" s="9">
        <v>0</v>
      </c>
      <c r="F447" s="9">
        <v>0</v>
      </c>
      <c r="G447" s="9">
        <v>0</v>
      </c>
      <c r="H447" s="9">
        <v>0</v>
      </c>
      <c r="I447" s="9">
        <v>0</v>
      </c>
      <c r="J447" s="9">
        <v>0</v>
      </c>
      <c r="K447" s="9">
        <v>0</v>
      </c>
      <c r="L447" s="9">
        <v>0</v>
      </c>
      <c r="M447" s="9">
        <v>9</v>
      </c>
      <c r="N447" s="9">
        <v>0</v>
      </c>
      <c r="O447" s="9">
        <v>0</v>
      </c>
      <c r="P447" s="9">
        <v>0</v>
      </c>
      <c r="Q447" s="9">
        <v>0</v>
      </c>
      <c r="R447" s="9">
        <v>0</v>
      </c>
      <c r="S447" s="9">
        <v>0</v>
      </c>
      <c r="T447" s="9">
        <v>0</v>
      </c>
      <c r="U447" s="9">
        <v>0</v>
      </c>
      <c r="V447" s="1">
        <f t="shared" ref="V447:V461" si="26">SUM(B447:U447)</f>
        <v>9</v>
      </c>
    </row>
    <row r="448" spans="1:22" x14ac:dyDescent="0.25">
      <c r="A448" s="13" t="s">
        <v>16</v>
      </c>
      <c r="B448" s="9">
        <v>1</v>
      </c>
      <c r="C448" s="9">
        <v>1</v>
      </c>
      <c r="D448" s="9">
        <v>0</v>
      </c>
      <c r="E448" s="9">
        <v>0</v>
      </c>
      <c r="F448" s="9">
        <v>1</v>
      </c>
      <c r="G448" s="9">
        <v>0</v>
      </c>
      <c r="H448" s="9">
        <v>0</v>
      </c>
      <c r="I448" s="9">
        <v>0</v>
      </c>
      <c r="J448" s="9">
        <v>0</v>
      </c>
      <c r="K448" s="13">
        <v>0</v>
      </c>
      <c r="L448" s="13">
        <v>0</v>
      </c>
      <c r="M448" s="9">
        <v>0</v>
      </c>
      <c r="N448" s="9">
        <v>0</v>
      </c>
      <c r="O448" s="9">
        <v>0</v>
      </c>
      <c r="P448" s="9">
        <v>0</v>
      </c>
      <c r="Q448" s="9">
        <v>0</v>
      </c>
      <c r="R448" s="9">
        <v>30</v>
      </c>
      <c r="S448" s="9">
        <v>0</v>
      </c>
      <c r="T448" s="9">
        <v>0</v>
      </c>
      <c r="U448" s="9">
        <v>0</v>
      </c>
      <c r="V448" s="1">
        <f t="shared" si="26"/>
        <v>33</v>
      </c>
    </row>
    <row r="449" spans="1:22" x14ac:dyDescent="0.25">
      <c r="A449" s="13" t="s">
        <v>22</v>
      </c>
      <c r="B449" s="9">
        <v>2</v>
      </c>
      <c r="C449" s="9">
        <v>2</v>
      </c>
      <c r="D449" s="9">
        <v>0</v>
      </c>
      <c r="E449" s="9">
        <v>0</v>
      </c>
      <c r="F449" s="9">
        <v>0</v>
      </c>
      <c r="G449" s="9">
        <v>2</v>
      </c>
      <c r="H449" s="13">
        <v>1</v>
      </c>
      <c r="I449" s="13">
        <v>1</v>
      </c>
      <c r="J449" s="13">
        <v>2</v>
      </c>
      <c r="K449" s="13">
        <v>1</v>
      </c>
      <c r="L449" s="13">
        <v>2</v>
      </c>
      <c r="M449" s="9">
        <v>2</v>
      </c>
      <c r="N449" s="9">
        <v>2</v>
      </c>
      <c r="O449" s="9">
        <v>3</v>
      </c>
      <c r="P449" s="9">
        <v>7</v>
      </c>
      <c r="Q449" s="9">
        <v>3</v>
      </c>
      <c r="R449" s="9">
        <v>2</v>
      </c>
      <c r="S449" s="9">
        <v>1</v>
      </c>
      <c r="T449" s="9">
        <v>0</v>
      </c>
      <c r="U449" s="9">
        <v>1</v>
      </c>
      <c r="V449" s="1">
        <f t="shared" si="26"/>
        <v>34</v>
      </c>
    </row>
    <row r="450" spans="1:22" x14ac:dyDescent="0.25">
      <c r="A450" s="13" t="s">
        <v>4</v>
      </c>
      <c r="B450" s="9">
        <v>11</v>
      </c>
      <c r="C450" s="9">
        <v>0</v>
      </c>
      <c r="D450" s="9">
        <v>2</v>
      </c>
      <c r="E450" s="9">
        <v>1</v>
      </c>
      <c r="F450" s="9">
        <v>0</v>
      </c>
      <c r="G450" s="9">
        <v>0</v>
      </c>
      <c r="H450" s="13">
        <v>0</v>
      </c>
      <c r="I450" s="13">
        <v>1</v>
      </c>
      <c r="J450" s="13">
        <v>0</v>
      </c>
      <c r="K450" s="13">
        <v>1</v>
      </c>
      <c r="L450" s="13">
        <v>0</v>
      </c>
      <c r="M450" s="9">
        <v>2</v>
      </c>
      <c r="N450" s="9">
        <v>0</v>
      </c>
      <c r="O450" s="9">
        <v>2</v>
      </c>
      <c r="P450" s="9">
        <v>3</v>
      </c>
      <c r="Q450" s="9">
        <v>0</v>
      </c>
      <c r="R450" s="9">
        <v>1</v>
      </c>
      <c r="S450" s="9">
        <v>2</v>
      </c>
      <c r="T450" s="9">
        <v>17</v>
      </c>
      <c r="U450" s="9">
        <v>0</v>
      </c>
      <c r="V450" s="1">
        <f t="shared" si="26"/>
        <v>43</v>
      </c>
    </row>
    <row r="451" spans="1:22" x14ac:dyDescent="0.25">
      <c r="A451" s="13" t="s">
        <v>6</v>
      </c>
      <c r="B451" s="9">
        <v>1</v>
      </c>
      <c r="C451" s="9">
        <v>1</v>
      </c>
      <c r="D451" s="9">
        <v>1</v>
      </c>
      <c r="E451" s="9">
        <v>0</v>
      </c>
      <c r="F451" s="9">
        <v>1</v>
      </c>
      <c r="G451" s="9">
        <v>0</v>
      </c>
      <c r="H451" s="13">
        <v>9</v>
      </c>
      <c r="I451" s="13">
        <v>0</v>
      </c>
      <c r="J451" s="13">
        <v>0</v>
      </c>
      <c r="K451" s="13">
        <v>0</v>
      </c>
      <c r="L451" s="13">
        <v>0</v>
      </c>
      <c r="M451" s="9">
        <v>0</v>
      </c>
      <c r="N451" s="9">
        <v>0</v>
      </c>
      <c r="O451" s="9">
        <v>8</v>
      </c>
      <c r="P451" s="9">
        <v>0</v>
      </c>
      <c r="Q451" s="9">
        <v>0</v>
      </c>
      <c r="R451" s="9">
        <v>8</v>
      </c>
      <c r="S451" s="9">
        <v>1</v>
      </c>
      <c r="T451" s="9">
        <v>0</v>
      </c>
      <c r="U451" s="9">
        <v>6</v>
      </c>
      <c r="V451" s="1">
        <f t="shared" si="26"/>
        <v>36</v>
      </c>
    </row>
    <row r="452" spans="1:22" x14ac:dyDescent="0.25">
      <c r="A452" s="13" t="s">
        <v>5</v>
      </c>
      <c r="B452" s="9">
        <v>0</v>
      </c>
      <c r="C452" s="9">
        <v>0</v>
      </c>
      <c r="D452" s="9">
        <v>0</v>
      </c>
      <c r="E452" s="9">
        <v>0</v>
      </c>
      <c r="F452" s="9">
        <v>0</v>
      </c>
      <c r="G452" s="9">
        <v>1</v>
      </c>
      <c r="H452" s="13">
        <v>6</v>
      </c>
      <c r="I452" s="13">
        <v>1</v>
      </c>
      <c r="J452" s="13">
        <v>6</v>
      </c>
      <c r="K452" s="13">
        <v>3</v>
      </c>
      <c r="L452" s="13">
        <v>0</v>
      </c>
      <c r="M452" s="9">
        <v>5</v>
      </c>
      <c r="N452" s="9">
        <v>10</v>
      </c>
      <c r="O452" s="9">
        <v>5</v>
      </c>
      <c r="P452" s="9">
        <v>0</v>
      </c>
      <c r="Q452" s="9">
        <v>2</v>
      </c>
      <c r="R452" s="9">
        <v>1</v>
      </c>
      <c r="S452" s="9">
        <v>2</v>
      </c>
      <c r="T452" s="9">
        <v>1</v>
      </c>
      <c r="U452" s="9">
        <v>0</v>
      </c>
      <c r="V452" s="1">
        <f t="shared" si="26"/>
        <v>43</v>
      </c>
    </row>
    <row r="453" spans="1:22" x14ac:dyDescent="0.25">
      <c r="A453" s="13" t="s">
        <v>8</v>
      </c>
      <c r="B453" s="9">
        <v>0</v>
      </c>
      <c r="C453" s="9">
        <v>4</v>
      </c>
      <c r="D453" s="9">
        <v>8</v>
      </c>
      <c r="E453" s="9">
        <v>2</v>
      </c>
      <c r="F453" s="9">
        <v>0</v>
      </c>
      <c r="G453" s="9">
        <v>4</v>
      </c>
      <c r="H453" s="13">
        <v>0</v>
      </c>
      <c r="I453" s="13">
        <v>1</v>
      </c>
      <c r="J453" s="13">
        <v>0</v>
      </c>
      <c r="K453" s="13">
        <v>1</v>
      </c>
      <c r="L453" s="13">
        <v>0</v>
      </c>
      <c r="M453" s="9">
        <v>1</v>
      </c>
      <c r="N453" s="9">
        <v>4</v>
      </c>
      <c r="O453" s="9">
        <v>0</v>
      </c>
      <c r="P453" s="9">
        <v>0</v>
      </c>
      <c r="Q453" s="9">
        <v>1</v>
      </c>
      <c r="R453" s="9">
        <v>0</v>
      </c>
      <c r="S453" s="9">
        <v>0</v>
      </c>
      <c r="T453" s="9">
        <v>3</v>
      </c>
      <c r="U453" s="9">
        <v>0</v>
      </c>
      <c r="V453" s="1">
        <f t="shared" si="26"/>
        <v>29</v>
      </c>
    </row>
    <row r="454" spans="1:22" x14ac:dyDescent="0.25">
      <c r="A454" s="13" t="s">
        <v>12</v>
      </c>
      <c r="B454" s="9">
        <v>0</v>
      </c>
      <c r="C454" s="9">
        <v>0</v>
      </c>
      <c r="D454" s="9">
        <v>1</v>
      </c>
      <c r="E454" s="9">
        <v>34</v>
      </c>
      <c r="F454" s="9">
        <v>0</v>
      </c>
      <c r="G454" s="9">
        <v>0</v>
      </c>
      <c r="H454" s="13">
        <v>0</v>
      </c>
      <c r="I454" s="13">
        <v>1</v>
      </c>
      <c r="J454" s="13">
        <v>2</v>
      </c>
      <c r="K454" s="13">
        <v>0</v>
      </c>
      <c r="L454" s="13">
        <v>0</v>
      </c>
      <c r="M454" s="9">
        <v>0</v>
      </c>
      <c r="N454" s="9">
        <v>0</v>
      </c>
      <c r="O454" s="9">
        <v>1</v>
      </c>
      <c r="P454" s="9">
        <v>0</v>
      </c>
      <c r="Q454" s="9">
        <v>2</v>
      </c>
      <c r="R454" s="9">
        <v>0</v>
      </c>
      <c r="S454" s="9">
        <v>0</v>
      </c>
      <c r="T454" s="9">
        <v>0</v>
      </c>
      <c r="U454" s="9">
        <v>1</v>
      </c>
      <c r="V454" s="1">
        <f t="shared" si="26"/>
        <v>42</v>
      </c>
    </row>
    <row r="455" spans="1:22" x14ac:dyDescent="0.25">
      <c r="A455" s="13" t="s">
        <v>23</v>
      </c>
      <c r="B455" s="9">
        <v>0</v>
      </c>
      <c r="C455" s="9">
        <v>1</v>
      </c>
      <c r="D455" s="9">
        <v>7</v>
      </c>
      <c r="E455" s="9">
        <v>3</v>
      </c>
      <c r="F455" s="9">
        <v>0</v>
      </c>
      <c r="G455" s="9">
        <v>1</v>
      </c>
      <c r="H455" s="13">
        <v>2</v>
      </c>
      <c r="I455" s="13">
        <v>0</v>
      </c>
      <c r="J455" s="13">
        <v>0</v>
      </c>
      <c r="K455" s="13">
        <v>0</v>
      </c>
      <c r="L455" s="13">
        <v>0</v>
      </c>
      <c r="M455" s="9">
        <v>1</v>
      </c>
      <c r="N455" s="9">
        <v>0</v>
      </c>
      <c r="O455" s="9">
        <v>1</v>
      </c>
      <c r="P455" s="9">
        <v>0</v>
      </c>
      <c r="Q455" s="9">
        <v>1</v>
      </c>
      <c r="R455" s="9">
        <v>5</v>
      </c>
      <c r="S455" s="9">
        <v>0</v>
      </c>
      <c r="T455" s="9">
        <v>0</v>
      </c>
      <c r="U455" s="9">
        <v>3</v>
      </c>
      <c r="V455" s="1">
        <f t="shared" si="26"/>
        <v>25</v>
      </c>
    </row>
    <row r="456" spans="1:22" x14ac:dyDescent="0.25">
      <c r="A456" s="13" t="s">
        <v>11</v>
      </c>
      <c r="B456" s="9">
        <v>0</v>
      </c>
      <c r="C456" s="9">
        <v>0</v>
      </c>
      <c r="D456" s="9">
        <v>0</v>
      </c>
      <c r="E456" s="9">
        <v>0</v>
      </c>
      <c r="F456" s="9">
        <v>0</v>
      </c>
      <c r="G456" s="9">
        <v>0</v>
      </c>
      <c r="H456" s="13">
        <v>0</v>
      </c>
      <c r="I456" s="13">
        <v>17</v>
      </c>
      <c r="J456" s="13">
        <v>0</v>
      </c>
      <c r="K456" s="13">
        <v>0</v>
      </c>
      <c r="L456" s="13">
        <v>0</v>
      </c>
      <c r="M456" s="9">
        <v>0</v>
      </c>
      <c r="N456" s="9">
        <v>0</v>
      </c>
      <c r="O456" s="9">
        <v>0</v>
      </c>
      <c r="P456" s="9">
        <v>0</v>
      </c>
      <c r="Q456" s="9">
        <v>0</v>
      </c>
      <c r="R456" s="9">
        <v>0</v>
      </c>
      <c r="S456" s="9">
        <v>0</v>
      </c>
      <c r="T456" s="9">
        <v>1</v>
      </c>
      <c r="U456" s="9">
        <v>2</v>
      </c>
      <c r="V456" s="1">
        <f t="shared" si="26"/>
        <v>20</v>
      </c>
    </row>
    <row r="457" spans="1:22" x14ac:dyDescent="0.25">
      <c r="A457" s="13" t="s">
        <v>9</v>
      </c>
      <c r="B457" s="9">
        <v>0</v>
      </c>
      <c r="C457" s="9">
        <v>1</v>
      </c>
      <c r="D457" s="9">
        <v>2</v>
      </c>
      <c r="E457" s="9">
        <v>0</v>
      </c>
      <c r="F457" s="9">
        <v>0</v>
      </c>
      <c r="G457" s="9">
        <v>8</v>
      </c>
      <c r="H457" s="13">
        <v>1</v>
      </c>
      <c r="I457" s="13">
        <v>2</v>
      </c>
      <c r="J457" s="13">
        <v>2</v>
      </c>
      <c r="K457" s="13">
        <v>0</v>
      </c>
      <c r="L457" s="13">
        <v>0</v>
      </c>
      <c r="M457" s="9">
        <v>1</v>
      </c>
      <c r="N457" s="9">
        <v>1</v>
      </c>
      <c r="O457" s="9">
        <v>0</v>
      </c>
      <c r="P457" s="9">
        <v>0</v>
      </c>
      <c r="Q457" s="9">
        <v>1</v>
      </c>
      <c r="R457" s="9">
        <v>2</v>
      </c>
      <c r="S457" s="9">
        <v>0</v>
      </c>
      <c r="T457" s="9">
        <v>0</v>
      </c>
      <c r="U457" s="9">
        <v>1</v>
      </c>
      <c r="V457" s="1">
        <f t="shared" si="26"/>
        <v>22</v>
      </c>
    </row>
    <row r="458" spans="1:22" x14ac:dyDescent="0.25">
      <c r="A458" s="13" t="s">
        <v>24</v>
      </c>
      <c r="B458" s="9">
        <v>1</v>
      </c>
      <c r="C458" s="9">
        <v>0</v>
      </c>
      <c r="D458" s="9">
        <v>2</v>
      </c>
      <c r="E458" s="9">
        <v>0</v>
      </c>
      <c r="F458" s="9">
        <v>0</v>
      </c>
      <c r="G458" s="9">
        <v>0</v>
      </c>
      <c r="H458" s="13">
        <v>0</v>
      </c>
      <c r="I458" s="13">
        <v>3</v>
      </c>
      <c r="J458" s="13">
        <v>1</v>
      </c>
      <c r="K458" s="13">
        <v>2</v>
      </c>
      <c r="L458" s="13">
        <v>0</v>
      </c>
      <c r="M458" s="9">
        <v>0</v>
      </c>
      <c r="N458" s="9">
        <v>0</v>
      </c>
      <c r="O458" s="9">
        <v>0</v>
      </c>
      <c r="P458" s="9">
        <v>0</v>
      </c>
      <c r="Q458" s="9">
        <v>2</v>
      </c>
      <c r="R458" s="9">
        <v>5</v>
      </c>
      <c r="S458" s="9">
        <v>1</v>
      </c>
      <c r="T458" s="9">
        <v>1</v>
      </c>
      <c r="U458" s="9">
        <v>1</v>
      </c>
      <c r="V458" s="1">
        <f t="shared" si="26"/>
        <v>19</v>
      </c>
    </row>
    <row r="459" spans="1:22" x14ac:dyDescent="0.25">
      <c r="A459" s="13" t="s">
        <v>26</v>
      </c>
      <c r="B459" s="9">
        <v>0</v>
      </c>
      <c r="C459" s="9">
        <v>0</v>
      </c>
      <c r="D459" s="9">
        <v>0</v>
      </c>
      <c r="E459" s="9">
        <v>0</v>
      </c>
      <c r="F459" s="9">
        <v>0</v>
      </c>
      <c r="G459" s="9">
        <v>0</v>
      </c>
      <c r="H459" s="13">
        <v>0</v>
      </c>
      <c r="I459" s="13">
        <v>1</v>
      </c>
      <c r="J459" s="13">
        <v>2</v>
      </c>
      <c r="K459" s="13">
        <v>0</v>
      </c>
      <c r="L459" s="13">
        <v>0</v>
      </c>
      <c r="M459" s="9">
        <v>0</v>
      </c>
      <c r="N459" s="9">
        <v>0</v>
      </c>
      <c r="O459" s="9">
        <v>0</v>
      </c>
      <c r="P459" s="9">
        <v>0</v>
      </c>
      <c r="Q459" s="9">
        <v>3</v>
      </c>
      <c r="R459" s="9">
        <v>1</v>
      </c>
      <c r="S459" s="9">
        <v>0</v>
      </c>
      <c r="T459" s="9">
        <v>0</v>
      </c>
      <c r="U459" s="9">
        <v>0</v>
      </c>
      <c r="V459" s="1">
        <f t="shared" si="26"/>
        <v>7</v>
      </c>
    </row>
    <row r="460" spans="1:22" x14ac:dyDescent="0.25">
      <c r="A460" s="13" t="s">
        <v>7</v>
      </c>
      <c r="B460" s="9">
        <v>0</v>
      </c>
      <c r="C460" s="9">
        <v>2</v>
      </c>
      <c r="D460" s="9">
        <v>0</v>
      </c>
      <c r="E460" s="9">
        <v>2</v>
      </c>
      <c r="F460" s="9">
        <v>6</v>
      </c>
      <c r="G460" s="9">
        <v>0</v>
      </c>
      <c r="H460" s="9">
        <v>0</v>
      </c>
      <c r="I460" s="9">
        <v>0</v>
      </c>
      <c r="J460" s="9">
        <v>0</v>
      </c>
      <c r="K460" s="9">
        <v>1</v>
      </c>
      <c r="L460" s="9">
        <v>0</v>
      </c>
      <c r="M460" s="9">
        <v>10</v>
      </c>
      <c r="N460" s="9">
        <v>0</v>
      </c>
      <c r="O460" s="9">
        <v>0</v>
      </c>
      <c r="P460" s="9">
        <v>0</v>
      </c>
      <c r="Q460" s="9">
        <v>6</v>
      </c>
      <c r="R460" s="9">
        <v>0</v>
      </c>
      <c r="S460" s="9">
        <v>0</v>
      </c>
      <c r="T460" s="9">
        <v>1</v>
      </c>
      <c r="U460" s="9">
        <v>0</v>
      </c>
      <c r="V460" s="1">
        <f t="shared" si="26"/>
        <v>28</v>
      </c>
    </row>
    <row r="461" spans="1:22" x14ac:dyDescent="0.25">
      <c r="A461" s="13" t="s">
        <v>10</v>
      </c>
      <c r="B461" s="9">
        <v>0</v>
      </c>
      <c r="C461" s="9">
        <v>0</v>
      </c>
      <c r="D461" s="9">
        <v>0</v>
      </c>
      <c r="E461" s="9">
        <v>0</v>
      </c>
      <c r="F461" s="9">
        <v>0</v>
      </c>
      <c r="G461" s="9">
        <v>0</v>
      </c>
      <c r="H461" s="9">
        <v>0</v>
      </c>
      <c r="I461" s="9">
        <v>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  <c r="P461" s="9">
        <v>0</v>
      </c>
      <c r="Q461" s="9">
        <v>0</v>
      </c>
      <c r="R461" s="9">
        <v>1</v>
      </c>
      <c r="S461" s="9">
        <v>2</v>
      </c>
      <c r="T461" s="9">
        <v>0</v>
      </c>
      <c r="U461" s="9">
        <v>0</v>
      </c>
      <c r="V461" s="1">
        <f t="shared" si="26"/>
        <v>4</v>
      </c>
    </row>
    <row r="462" spans="1:22" x14ac:dyDescent="0.25">
      <c r="B462" s="1">
        <f>SUM(B446:B461)</f>
        <v>16</v>
      </c>
      <c r="C462" s="1">
        <f t="shared" ref="C462:U462" si="27">SUM(C446:C461)</f>
        <v>22</v>
      </c>
      <c r="D462" s="1">
        <f t="shared" si="27"/>
        <v>27</v>
      </c>
      <c r="E462" s="1">
        <f t="shared" si="27"/>
        <v>42</v>
      </c>
      <c r="F462" s="1">
        <f t="shared" si="27"/>
        <v>9</v>
      </c>
      <c r="G462" s="1">
        <f t="shared" si="27"/>
        <v>18</v>
      </c>
      <c r="H462" s="1">
        <f t="shared" si="27"/>
        <v>19</v>
      </c>
      <c r="I462" s="1">
        <f t="shared" si="27"/>
        <v>32</v>
      </c>
      <c r="J462" s="1">
        <f t="shared" si="27"/>
        <v>15</v>
      </c>
      <c r="K462" s="1">
        <f t="shared" si="27"/>
        <v>12</v>
      </c>
      <c r="L462" s="1">
        <f t="shared" si="27"/>
        <v>2</v>
      </c>
      <c r="M462" s="1">
        <f t="shared" si="27"/>
        <v>33</v>
      </c>
      <c r="N462" s="1">
        <f t="shared" si="27"/>
        <v>18</v>
      </c>
      <c r="O462" s="1">
        <f t="shared" si="27"/>
        <v>20</v>
      </c>
      <c r="P462" s="1">
        <f t="shared" si="27"/>
        <v>13</v>
      </c>
      <c r="Q462" s="1">
        <f t="shared" si="27"/>
        <v>21</v>
      </c>
      <c r="R462" s="1">
        <f t="shared" si="27"/>
        <v>60</v>
      </c>
      <c r="S462" s="1">
        <f t="shared" si="27"/>
        <v>9</v>
      </c>
      <c r="T462" s="1">
        <f t="shared" si="27"/>
        <v>26</v>
      </c>
      <c r="U462" s="1">
        <f t="shared" si="27"/>
        <v>19</v>
      </c>
    </row>
    <row r="464" spans="1:22" x14ac:dyDescent="0.25">
      <c r="A464" t="s">
        <v>27</v>
      </c>
      <c r="B464" s="31" t="s">
        <v>191</v>
      </c>
      <c r="C464" s="31" t="s">
        <v>185</v>
      </c>
      <c r="D464" s="31" t="s">
        <v>180</v>
      </c>
      <c r="E464" s="31" t="s">
        <v>186</v>
      </c>
      <c r="F464" s="31" t="s">
        <v>190</v>
      </c>
      <c r="G464" s="31" t="s">
        <v>195</v>
      </c>
      <c r="H464" s="31" t="s">
        <v>196</v>
      </c>
      <c r="I464" s="31" t="s">
        <v>194</v>
      </c>
      <c r="J464" s="31" t="s">
        <v>198</v>
      </c>
      <c r="K464" s="31" t="s">
        <v>179</v>
      </c>
      <c r="L464" s="31" t="s">
        <v>197</v>
      </c>
      <c r="M464" s="31" t="s">
        <v>187</v>
      </c>
      <c r="N464" s="31" t="s">
        <v>192</v>
      </c>
      <c r="O464" s="31" t="s">
        <v>189</v>
      </c>
      <c r="P464" s="31" t="s">
        <v>193</v>
      </c>
      <c r="Q464" s="31" t="s">
        <v>181</v>
      </c>
      <c r="R464" s="31" t="s">
        <v>183</v>
      </c>
      <c r="S464" s="31" t="s">
        <v>182</v>
      </c>
      <c r="T464" s="31" t="s">
        <v>188</v>
      </c>
      <c r="U464" s="31" t="s">
        <v>184</v>
      </c>
    </row>
    <row r="465" spans="1:24" x14ac:dyDescent="0.25">
      <c r="A465" s="13" t="s">
        <v>3</v>
      </c>
      <c r="B465" s="7">
        <f>B446/$V446</f>
        <v>0</v>
      </c>
      <c r="C465" s="32">
        <f>C446/$V446</f>
        <v>0.25641025641025639</v>
      </c>
      <c r="D465" s="7">
        <f t="shared" ref="D465:T465" si="28">D446/$V446</f>
        <v>0.10256410256410256</v>
      </c>
      <c r="E465" s="7">
        <f t="shared" si="28"/>
        <v>0</v>
      </c>
      <c r="F465" s="7">
        <f t="shared" si="28"/>
        <v>2.564102564102564E-2</v>
      </c>
      <c r="G465" s="7">
        <f t="shared" si="28"/>
        <v>5.128205128205128E-2</v>
      </c>
      <c r="H465" s="7">
        <f t="shared" si="28"/>
        <v>0</v>
      </c>
      <c r="I465" s="7">
        <f t="shared" si="28"/>
        <v>7.6923076923076927E-2</v>
      </c>
      <c r="J465" s="7">
        <f t="shared" si="28"/>
        <v>0</v>
      </c>
      <c r="K465" s="7">
        <f t="shared" si="28"/>
        <v>7.6923076923076927E-2</v>
      </c>
      <c r="L465" s="7">
        <f t="shared" si="28"/>
        <v>0</v>
      </c>
      <c r="M465" s="7">
        <f t="shared" si="28"/>
        <v>5.128205128205128E-2</v>
      </c>
      <c r="N465" s="7">
        <f t="shared" si="28"/>
        <v>2.564102564102564E-2</v>
      </c>
      <c r="O465" s="7">
        <f t="shared" si="28"/>
        <v>0</v>
      </c>
      <c r="P465" s="7">
        <f t="shared" si="28"/>
        <v>7.6923076923076927E-2</v>
      </c>
      <c r="Q465" s="7">
        <f t="shared" si="28"/>
        <v>0</v>
      </c>
      <c r="R465" s="7">
        <f t="shared" si="28"/>
        <v>0.10256410256410256</v>
      </c>
      <c r="S465" s="7">
        <f t="shared" si="28"/>
        <v>0</v>
      </c>
      <c r="T465" s="7">
        <f t="shared" si="28"/>
        <v>5.128205128205128E-2</v>
      </c>
      <c r="U465" s="7">
        <f t="shared" ref="U465" si="29">U446/$V446</f>
        <v>0.10256410256410256</v>
      </c>
      <c r="V465" s="1" t="s">
        <v>185</v>
      </c>
      <c r="W465" s="1" t="s">
        <v>180</v>
      </c>
      <c r="X465" s="1" t="s">
        <v>184</v>
      </c>
    </row>
    <row r="466" spans="1:24" x14ac:dyDescent="0.25">
      <c r="A466" s="13" t="s">
        <v>18</v>
      </c>
      <c r="B466" s="7">
        <f t="shared" ref="B466:T466" si="30">B447/$V447</f>
        <v>0</v>
      </c>
      <c r="C466" s="7">
        <f t="shared" si="30"/>
        <v>0</v>
      </c>
      <c r="D466" s="7">
        <f t="shared" si="30"/>
        <v>0</v>
      </c>
      <c r="E466" s="7">
        <f t="shared" si="30"/>
        <v>0</v>
      </c>
      <c r="F466" s="7">
        <f t="shared" si="30"/>
        <v>0</v>
      </c>
      <c r="G466" s="7">
        <f t="shared" si="30"/>
        <v>0</v>
      </c>
      <c r="H466" s="7">
        <f t="shared" si="30"/>
        <v>0</v>
      </c>
      <c r="I466" s="7">
        <f t="shared" si="30"/>
        <v>0</v>
      </c>
      <c r="J466" s="7">
        <f t="shared" si="30"/>
        <v>0</v>
      </c>
      <c r="K466" s="7">
        <f t="shared" si="30"/>
        <v>0</v>
      </c>
      <c r="L466" s="7">
        <f t="shared" si="30"/>
        <v>0</v>
      </c>
      <c r="M466" s="32">
        <f t="shared" si="30"/>
        <v>1</v>
      </c>
      <c r="N466" s="7">
        <f t="shared" si="30"/>
        <v>0</v>
      </c>
      <c r="O466" s="7">
        <f t="shared" si="30"/>
        <v>0</v>
      </c>
      <c r="P466" s="7">
        <f t="shared" si="30"/>
        <v>0</v>
      </c>
      <c r="Q466" s="7">
        <f t="shared" si="30"/>
        <v>0</v>
      </c>
      <c r="R466" s="7">
        <f t="shared" si="30"/>
        <v>0</v>
      </c>
      <c r="S466" s="7">
        <f t="shared" si="30"/>
        <v>0</v>
      </c>
      <c r="T466" s="7">
        <f t="shared" si="30"/>
        <v>0</v>
      </c>
      <c r="U466" s="7">
        <f t="shared" ref="U466" si="31">U447/$V447</f>
        <v>0</v>
      </c>
      <c r="V466" s="1" t="s">
        <v>187</v>
      </c>
      <c r="W466" s="1" t="s">
        <v>187</v>
      </c>
      <c r="X466" s="1" t="s">
        <v>187</v>
      </c>
    </row>
    <row r="467" spans="1:24" x14ac:dyDescent="0.25">
      <c r="A467" s="13" t="s">
        <v>16</v>
      </c>
      <c r="B467" s="7">
        <f t="shared" ref="B467:T467" si="32">B448/$V448</f>
        <v>3.0303030303030304E-2</v>
      </c>
      <c r="C467" s="7">
        <f t="shared" si="32"/>
        <v>3.0303030303030304E-2</v>
      </c>
      <c r="D467" s="7">
        <f t="shared" si="32"/>
        <v>0</v>
      </c>
      <c r="E467" s="7">
        <f t="shared" si="32"/>
        <v>0</v>
      </c>
      <c r="F467" s="7">
        <f t="shared" si="32"/>
        <v>3.0303030303030304E-2</v>
      </c>
      <c r="G467" s="7">
        <f t="shared" si="32"/>
        <v>0</v>
      </c>
      <c r="H467" s="7">
        <f t="shared" si="32"/>
        <v>0</v>
      </c>
      <c r="I467" s="7">
        <f t="shared" si="32"/>
        <v>0</v>
      </c>
      <c r="J467" s="7">
        <f t="shared" si="32"/>
        <v>0</v>
      </c>
      <c r="K467" s="7">
        <f t="shared" si="32"/>
        <v>0</v>
      </c>
      <c r="L467" s="7">
        <f t="shared" si="32"/>
        <v>0</v>
      </c>
      <c r="M467" s="7">
        <f t="shared" si="32"/>
        <v>0</v>
      </c>
      <c r="N467" s="7">
        <f t="shared" si="32"/>
        <v>0</v>
      </c>
      <c r="O467" s="7">
        <f t="shared" si="32"/>
        <v>0</v>
      </c>
      <c r="P467" s="7">
        <f t="shared" si="32"/>
        <v>0</v>
      </c>
      <c r="Q467" s="7">
        <f t="shared" si="32"/>
        <v>0</v>
      </c>
      <c r="R467" s="32">
        <f t="shared" si="32"/>
        <v>0.90909090909090906</v>
      </c>
      <c r="S467" s="7">
        <f t="shared" si="32"/>
        <v>0</v>
      </c>
      <c r="T467" s="7">
        <f t="shared" si="32"/>
        <v>0</v>
      </c>
      <c r="U467" s="7">
        <f t="shared" ref="U467" si="33">U448/$V448</f>
        <v>0</v>
      </c>
      <c r="V467" s="1" t="s">
        <v>183</v>
      </c>
      <c r="W467" s="1" t="s">
        <v>185</v>
      </c>
      <c r="X467" s="1" t="s">
        <v>190</v>
      </c>
    </row>
    <row r="468" spans="1:24" x14ac:dyDescent="0.25">
      <c r="A468" s="13" t="s">
        <v>22</v>
      </c>
      <c r="B468" s="7">
        <f t="shared" ref="B468:T468" si="34">B449/$V449</f>
        <v>5.8823529411764705E-2</v>
      </c>
      <c r="C468" s="7">
        <f t="shared" si="34"/>
        <v>5.8823529411764705E-2</v>
      </c>
      <c r="D468" s="7">
        <f t="shared" si="34"/>
        <v>0</v>
      </c>
      <c r="E468" s="7">
        <f t="shared" si="34"/>
        <v>0</v>
      </c>
      <c r="F468" s="7">
        <f t="shared" si="34"/>
        <v>0</v>
      </c>
      <c r="G468" s="7">
        <f t="shared" si="34"/>
        <v>5.8823529411764705E-2</v>
      </c>
      <c r="H468" s="7">
        <f t="shared" si="34"/>
        <v>2.9411764705882353E-2</v>
      </c>
      <c r="I468" s="7">
        <f t="shared" si="34"/>
        <v>2.9411764705882353E-2</v>
      </c>
      <c r="J468" s="7">
        <f t="shared" si="34"/>
        <v>5.8823529411764705E-2</v>
      </c>
      <c r="K468" s="7">
        <f t="shared" si="34"/>
        <v>2.9411764705882353E-2</v>
      </c>
      <c r="L468" s="7">
        <f t="shared" si="34"/>
        <v>5.8823529411764705E-2</v>
      </c>
      <c r="M468" s="7">
        <f t="shared" si="34"/>
        <v>5.8823529411764705E-2</v>
      </c>
      <c r="N468" s="7">
        <f t="shared" si="34"/>
        <v>5.8823529411764705E-2</v>
      </c>
      <c r="O468" s="7">
        <f t="shared" si="34"/>
        <v>8.8235294117647065E-2</v>
      </c>
      <c r="P468" s="32">
        <f t="shared" si="34"/>
        <v>0.20588235294117646</v>
      </c>
      <c r="Q468" s="7">
        <f t="shared" si="34"/>
        <v>8.8235294117647065E-2</v>
      </c>
      <c r="R468" s="7">
        <f t="shared" si="34"/>
        <v>5.8823529411764705E-2</v>
      </c>
      <c r="S468" s="7">
        <f t="shared" si="34"/>
        <v>2.9411764705882353E-2</v>
      </c>
      <c r="T468" s="7">
        <f t="shared" si="34"/>
        <v>0</v>
      </c>
      <c r="U468" s="7">
        <f t="shared" ref="U468" si="35">U449/$V449</f>
        <v>2.9411764705882353E-2</v>
      </c>
      <c r="V468" s="2" t="s">
        <v>193</v>
      </c>
      <c r="W468" s="2" t="s">
        <v>181</v>
      </c>
      <c r="X468" s="2" t="s">
        <v>189</v>
      </c>
    </row>
    <row r="469" spans="1:24" x14ac:dyDescent="0.25">
      <c r="A469" s="13" t="s">
        <v>4</v>
      </c>
      <c r="B469" s="33">
        <f t="shared" ref="B469:T469" si="36">B450/$V450</f>
        <v>0.2558139534883721</v>
      </c>
      <c r="C469" s="7">
        <f t="shared" si="36"/>
        <v>0</v>
      </c>
      <c r="D469" s="7">
        <f t="shared" si="36"/>
        <v>4.6511627906976744E-2</v>
      </c>
      <c r="E469" s="7">
        <f t="shared" si="36"/>
        <v>2.3255813953488372E-2</v>
      </c>
      <c r="F469" s="7">
        <f t="shared" si="36"/>
        <v>0</v>
      </c>
      <c r="G469" s="7">
        <f t="shared" si="36"/>
        <v>0</v>
      </c>
      <c r="H469" s="7">
        <f t="shared" si="36"/>
        <v>0</v>
      </c>
      <c r="I469" s="7">
        <f t="shared" si="36"/>
        <v>2.3255813953488372E-2</v>
      </c>
      <c r="J469" s="7">
        <f t="shared" si="36"/>
        <v>0</v>
      </c>
      <c r="K469" s="7">
        <f t="shared" si="36"/>
        <v>2.3255813953488372E-2</v>
      </c>
      <c r="L469" s="7">
        <f t="shared" si="36"/>
        <v>0</v>
      </c>
      <c r="M469" s="7">
        <f t="shared" si="36"/>
        <v>4.6511627906976744E-2</v>
      </c>
      <c r="N469" s="7">
        <f t="shared" si="36"/>
        <v>0</v>
      </c>
      <c r="O469" s="7">
        <f t="shared" si="36"/>
        <v>4.6511627906976744E-2</v>
      </c>
      <c r="P469" s="7">
        <f t="shared" si="36"/>
        <v>6.9767441860465115E-2</v>
      </c>
      <c r="Q469" s="7">
        <f t="shared" si="36"/>
        <v>0</v>
      </c>
      <c r="R469" s="7">
        <f t="shared" si="36"/>
        <v>2.3255813953488372E-2</v>
      </c>
      <c r="S469" s="7">
        <f t="shared" si="36"/>
        <v>4.6511627906976744E-2</v>
      </c>
      <c r="T469" s="32">
        <f t="shared" si="36"/>
        <v>0.39534883720930231</v>
      </c>
      <c r="U469" s="32">
        <f t="shared" ref="U469" si="37">U450/$V450</f>
        <v>0</v>
      </c>
      <c r="V469" s="2" t="s">
        <v>188</v>
      </c>
      <c r="W469" s="2" t="s">
        <v>191</v>
      </c>
      <c r="X469" s="2" t="s">
        <v>193</v>
      </c>
    </row>
    <row r="470" spans="1:24" x14ac:dyDescent="0.25">
      <c r="A470" s="13" t="s">
        <v>6</v>
      </c>
      <c r="B470" s="7">
        <f t="shared" ref="B470:T470" si="38">B451/$V451</f>
        <v>2.7777777777777776E-2</v>
      </c>
      <c r="C470" s="7">
        <f t="shared" si="38"/>
        <v>2.7777777777777776E-2</v>
      </c>
      <c r="D470" s="7">
        <f t="shared" si="38"/>
        <v>2.7777777777777776E-2</v>
      </c>
      <c r="E470" s="7">
        <f t="shared" si="38"/>
        <v>0</v>
      </c>
      <c r="F470" s="7">
        <f t="shared" si="38"/>
        <v>2.7777777777777776E-2</v>
      </c>
      <c r="G470" s="7">
        <f t="shared" si="38"/>
        <v>0</v>
      </c>
      <c r="H470" s="32">
        <f t="shared" si="38"/>
        <v>0.25</v>
      </c>
      <c r="I470" s="7">
        <f t="shared" si="38"/>
        <v>0</v>
      </c>
      <c r="J470" s="7">
        <f t="shared" si="38"/>
        <v>0</v>
      </c>
      <c r="K470" s="7">
        <f t="shared" si="38"/>
        <v>0</v>
      </c>
      <c r="L470" s="7">
        <f t="shared" si="38"/>
        <v>0</v>
      </c>
      <c r="M470" s="7">
        <f t="shared" si="38"/>
        <v>0</v>
      </c>
      <c r="N470" s="7">
        <f t="shared" si="38"/>
        <v>0</v>
      </c>
      <c r="O470" s="7">
        <f t="shared" si="38"/>
        <v>0.22222222222222221</v>
      </c>
      <c r="P470" s="7">
        <f t="shared" si="38"/>
        <v>0</v>
      </c>
      <c r="Q470" s="7">
        <f t="shared" si="38"/>
        <v>0</v>
      </c>
      <c r="R470" s="7">
        <f t="shared" si="38"/>
        <v>0.22222222222222221</v>
      </c>
      <c r="S470" s="7">
        <f t="shared" si="38"/>
        <v>2.7777777777777776E-2</v>
      </c>
      <c r="T470" s="7">
        <f t="shared" si="38"/>
        <v>0</v>
      </c>
      <c r="U470" s="7">
        <f t="shared" ref="U470" si="39">U451/$V451</f>
        <v>0.16666666666666666</v>
      </c>
      <c r="V470" s="2" t="s">
        <v>196</v>
      </c>
      <c r="W470" s="2" t="s">
        <v>189</v>
      </c>
      <c r="X470" s="2" t="s">
        <v>183</v>
      </c>
    </row>
    <row r="471" spans="1:24" x14ac:dyDescent="0.25">
      <c r="A471" s="13" t="s">
        <v>5</v>
      </c>
      <c r="B471" s="7">
        <f t="shared" ref="B471:T471" si="40">B452/$V452</f>
        <v>0</v>
      </c>
      <c r="C471" s="7">
        <f t="shared" si="40"/>
        <v>0</v>
      </c>
      <c r="D471" s="7">
        <f t="shared" si="40"/>
        <v>0</v>
      </c>
      <c r="E471" s="7">
        <f t="shared" si="40"/>
        <v>0</v>
      </c>
      <c r="F471" s="7">
        <f t="shared" si="40"/>
        <v>0</v>
      </c>
      <c r="G471" s="7">
        <f t="shared" si="40"/>
        <v>2.3255813953488372E-2</v>
      </c>
      <c r="H471" s="7">
        <f t="shared" si="40"/>
        <v>0.13953488372093023</v>
      </c>
      <c r="I471" s="7">
        <f t="shared" si="40"/>
        <v>2.3255813953488372E-2</v>
      </c>
      <c r="J471" s="7">
        <f t="shared" si="40"/>
        <v>0.13953488372093023</v>
      </c>
      <c r="K471" s="7">
        <f t="shared" si="40"/>
        <v>6.9767441860465115E-2</v>
      </c>
      <c r="L471" s="7">
        <f t="shared" si="40"/>
        <v>0</v>
      </c>
      <c r="M471" s="7">
        <f t="shared" si="40"/>
        <v>0.11627906976744186</v>
      </c>
      <c r="N471" s="32">
        <f t="shared" si="40"/>
        <v>0.23255813953488372</v>
      </c>
      <c r="O471" s="7">
        <f t="shared" si="40"/>
        <v>0.11627906976744186</v>
      </c>
      <c r="P471" s="7">
        <f t="shared" si="40"/>
        <v>0</v>
      </c>
      <c r="Q471" s="7">
        <f t="shared" si="40"/>
        <v>4.6511627906976744E-2</v>
      </c>
      <c r="R471" s="7">
        <f t="shared" si="40"/>
        <v>2.3255813953488372E-2</v>
      </c>
      <c r="S471" s="7">
        <f t="shared" si="40"/>
        <v>4.6511627906976744E-2</v>
      </c>
      <c r="T471" s="7">
        <f t="shared" si="40"/>
        <v>2.3255813953488372E-2</v>
      </c>
      <c r="U471" s="7">
        <f t="shared" ref="U471" si="41">U452/$V452</f>
        <v>0</v>
      </c>
      <c r="V471" s="2" t="s">
        <v>192</v>
      </c>
      <c r="W471" s="2" t="s">
        <v>196</v>
      </c>
      <c r="X471" s="2" t="s">
        <v>198</v>
      </c>
    </row>
    <row r="472" spans="1:24" x14ac:dyDescent="0.25">
      <c r="A472" s="13" t="s">
        <v>8</v>
      </c>
      <c r="B472" s="7">
        <f t="shared" ref="B472:T472" si="42">B453/$V453</f>
        <v>0</v>
      </c>
      <c r="C472" s="7">
        <f t="shared" si="42"/>
        <v>0.13793103448275862</v>
      </c>
      <c r="D472" s="32">
        <f t="shared" si="42"/>
        <v>0.27586206896551724</v>
      </c>
      <c r="E472" s="7">
        <f t="shared" si="42"/>
        <v>6.8965517241379309E-2</v>
      </c>
      <c r="F472" s="7">
        <f t="shared" si="42"/>
        <v>0</v>
      </c>
      <c r="G472" s="7">
        <f t="shared" si="42"/>
        <v>0.13793103448275862</v>
      </c>
      <c r="H472" s="7">
        <f t="shared" si="42"/>
        <v>0</v>
      </c>
      <c r="I472" s="7">
        <f t="shared" si="42"/>
        <v>3.4482758620689655E-2</v>
      </c>
      <c r="J472" s="7">
        <f t="shared" si="42"/>
        <v>0</v>
      </c>
      <c r="K472" s="7">
        <f t="shared" si="42"/>
        <v>3.4482758620689655E-2</v>
      </c>
      <c r="L472" s="7">
        <f t="shared" si="42"/>
        <v>0</v>
      </c>
      <c r="M472" s="7">
        <f t="shared" si="42"/>
        <v>3.4482758620689655E-2</v>
      </c>
      <c r="N472" s="7">
        <f t="shared" si="42"/>
        <v>0.13793103448275862</v>
      </c>
      <c r="O472" s="7">
        <f t="shared" si="42"/>
        <v>0</v>
      </c>
      <c r="P472" s="7">
        <f t="shared" si="42"/>
        <v>0</v>
      </c>
      <c r="Q472" s="7">
        <f t="shared" si="42"/>
        <v>3.4482758620689655E-2</v>
      </c>
      <c r="R472" s="7">
        <f t="shared" si="42"/>
        <v>0</v>
      </c>
      <c r="S472" s="7">
        <f t="shared" si="42"/>
        <v>0</v>
      </c>
      <c r="T472" s="7">
        <f t="shared" si="42"/>
        <v>0.10344827586206896</v>
      </c>
      <c r="U472" s="7">
        <f t="shared" ref="U472" si="43">U453/$V453</f>
        <v>0</v>
      </c>
      <c r="V472" s="2" t="s">
        <v>180</v>
      </c>
      <c r="W472" s="2" t="s">
        <v>185</v>
      </c>
      <c r="X472" s="2" t="s">
        <v>195</v>
      </c>
    </row>
    <row r="473" spans="1:24" x14ac:dyDescent="0.25">
      <c r="A473" s="13" t="s">
        <v>12</v>
      </c>
      <c r="B473" s="7">
        <f t="shared" ref="B473:T473" si="44">B454/$V454</f>
        <v>0</v>
      </c>
      <c r="C473" s="7">
        <f t="shared" si="44"/>
        <v>0</v>
      </c>
      <c r="D473" s="7">
        <f t="shared" si="44"/>
        <v>2.3809523809523808E-2</v>
      </c>
      <c r="E473" s="32">
        <f t="shared" si="44"/>
        <v>0.80952380952380953</v>
      </c>
      <c r="F473" s="7">
        <f t="shared" si="44"/>
        <v>0</v>
      </c>
      <c r="G473" s="7">
        <f t="shared" si="44"/>
        <v>0</v>
      </c>
      <c r="H473" s="7">
        <f t="shared" si="44"/>
        <v>0</v>
      </c>
      <c r="I473" s="7">
        <f t="shared" si="44"/>
        <v>2.3809523809523808E-2</v>
      </c>
      <c r="J473" s="7">
        <f t="shared" si="44"/>
        <v>4.7619047619047616E-2</v>
      </c>
      <c r="K473" s="7">
        <f t="shared" si="44"/>
        <v>0</v>
      </c>
      <c r="L473" s="7">
        <f t="shared" si="44"/>
        <v>0</v>
      </c>
      <c r="M473" s="7">
        <f t="shared" si="44"/>
        <v>0</v>
      </c>
      <c r="N473" s="7">
        <f t="shared" si="44"/>
        <v>0</v>
      </c>
      <c r="O473" s="7">
        <f t="shared" si="44"/>
        <v>2.3809523809523808E-2</v>
      </c>
      <c r="P473" s="7">
        <f t="shared" si="44"/>
        <v>0</v>
      </c>
      <c r="Q473" s="7">
        <f t="shared" si="44"/>
        <v>4.7619047619047616E-2</v>
      </c>
      <c r="R473" s="7">
        <f t="shared" si="44"/>
        <v>0</v>
      </c>
      <c r="S473" s="7">
        <f t="shared" si="44"/>
        <v>0</v>
      </c>
      <c r="T473" s="7">
        <f t="shared" si="44"/>
        <v>0</v>
      </c>
      <c r="U473" s="7">
        <f t="shared" ref="U473" si="45">U454/$V454</f>
        <v>2.3809523809523808E-2</v>
      </c>
      <c r="V473" s="2" t="s">
        <v>186</v>
      </c>
      <c r="W473" s="2" t="s">
        <v>198</v>
      </c>
      <c r="X473" s="2" t="s">
        <v>181</v>
      </c>
    </row>
    <row r="474" spans="1:24" x14ac:dyDescent="0.25">
      <c r="A474" s="13" t="s">
        <v>23</v>
      </c>
      <c r="B474" s="7">
        <f t="shared" ref="B474:T474" si="46">B455/$V455</f>
        <v>0</v>
      </c>
      <c r="C474" s="7">
        <f t="shared" si="46"/>
        <v>0.04</v>
      </c>
      <c r="D474" s="32">
        <f t="shared" si="46"/>
        <v>0.28000000000000003</v>
      </c>
      <c r="E474" s="7">
        <f t="shared" si="46"/>
        <v>0.12</v>
      </c>
      <c r="F474" s="7">
        <f t="shared" si="46"/>
        <v>0</v>
      </c>
      <c r="G474" s="7">
        <f t="shared" si="46"/>
        <v>0.04</v>
      </c>
      <c r="H474" s="7">
        <f t="shared" si="46"/>
        <v>0.08</v>
      </c>
      <c r="I474" s="7">
        <f t="shared" si="46"/>
        <v>0</v>
      </c>
      <c r="J474" s="7">
        <f t="shared" si="46"/>
        <v>0</v>
      </c>
      <c r="K474" s="7">
        <f t="shared" si="46"/>
        <v>0</v>
      </c>
      <c r="L474" s="7">
        <f t="shared" si="46"/>
        <v>0</v>
      </c>
      <c r="M474" s="7">
        <f t="shared" si="46"/>
        <v>0.04</v>
      </c>
      <c r="N474" s="7">
        <f t="shared" si="46"/>
        <v>0</v>
      </c>
      <c r="O474" s="7">
        <f t="shared" si="46"/>
        <v>0.04</v>
      </c>
      <c r="P474" s="7">
        <f t="shared" si="46"/>
        <v>0</v>
      </c>
      <c r="Q474" s="7">
        <f t="shared" si="46"/>
        <v>0.04</v>
      </c>
      <c r="R474" s="7">
        <f t="shared" si="46"/>
        <v>0.2</v>
      </c>
      <c r="S474" s="7">
        <f t="shared" si="46"/>
        <v>0</v>
      </c>
      <c r="T474" s="7">
        <f t="shared" si="46"/>
        <v>0</v>
      </c>
      <c r="U474" s="7">
        <f t="shared" ref="U474" si="47">U455/$V455</f>
        <v>0.12</v>
      </c>
      <c r="V474" s="2" t="s">
        <v>180</v>
      </c>
      <c r="W474" s="2" t="s">
        <v>183</v>
      </c>
      <c r="X474" s="2" t="s">
        <v>184</v>
      </c>
    </row>
    <row r="475" spans="1:24" x14ac:dyDescent="0.25">
      <c r="A475" s="13" t="s">
        <v>11</v>
      </c>
      <c r="B475" s="7">
        <f t="shared" ref="B475:T475" si="48">B456/$V456</f>
        <v>0</v>
      </c>
      <c r="C475" s="7">
        <f t="shared" si="48"/>
        <v>0</v>
      </c>
      <c r="D475" s="7">
        <f t="shared" si="48"/>
        <v>0</v>
      </c>
      <c r="E475" s="7">
        <f t="shared" si="48"/>
        <v>0</v>
      </c>
      <c r="F475" s="7">
        <f t="shared" si="48"/>
        <v>0</v>
      </c>
      <c r="G475" s="7">
        <f t="shared" si="48"/>
        <v>0</v>
      </c>
      <c r="H475" s="7">
        <f t="shared" si="48"/>
        <v>0</v>
      </c>
      <c r="I475" s="32">
        <f t="shared" si="48"/>
        <v>0.85</v>
      </c>
      <c r="J475" s="7">
        <f t="shared" si="48"/>
        <v>0</v>
      </c>
      <c r="K475" s="7">
        <f t="shared" si="48"/>
        <v>0</v>
      </c>
      <c r="L475" s="7">
        <f t="shared" si="48"/>
        <v>0</v>
      </c>
      <c r="M475" s="7">
        <f t="shared" si="48"/>
        <v>0</v>
      </c>
      <c r="N475" s="7">
        <f t="shared" si="48"/>
        <v>0</v>
      </c>
      <c r="O475" s="7">
        <f t="shared" si="48"/>
        <v>0</v>
      </c>
      <c r="P475" s="7">
        <f t="shared" si="48"/>
        <v>0</v>
      </c>
      <c r="Q475" s="7">
        <f t="shared" si="48"/>
        <v>0</v>
      </c>
      <c r="R475" s="7">
        <f t="shared" si="48"/>
        <v>0</v>
      </c>
      <c r="S475" s="7">
        <f t="shared" si="48"/>
        <v>0</v>
      </c>
      <c r="T475" s="7">
        <f t="shared" si="48"/>
        <v>0.05</v>
      </c>
      <c r="U475" s="7">
        <f t="shared" ref="U475" si="49">U456/$V456</f>
        <v>0.1</v>
      </c>
      <c r="V475" s="2" t="s">
        <v>194</v>
      </c>
      <c r="W475" s="2" t="s">
        <v>184</v>
      </c>
      <c r="X475" s="2" t="s">
        <v>188</v>
      </c>
    </row>
    <row r="476" spans="1:24" x14ac:dyDescent="0.25">
      <c r="A476" s="13" t="s">
        <v>9</v>
      </c>
      <c r="B476" s="7">
        <f t="shared" ref="B476:T476" si="50">B457/$V457</f>
        <v>0</v>
      </c>
      <c r="C476" s="7">
        <f t="shared" si="50"/>
        <v>4.5454545454545456E-2</v>
      </c>
      <c r="D476" s="7">
        <f t="shared" si="50"/>
        <v>9.0909090909090912E-2</v>
      </c>
      <c r="E476" s="7">
        <f t="shared" si="50"/>
        <v>0</v>
      </c>
      <c r="F476" s="7">
        <f t="shared" si="50"/>
        <v>0</v>
      </c>
      <c r="G476" s="32">
        <f t="shared" si="50"/>
        <v>0.36363636363636365</v>
      </c>
      <c r="H476" s="7">
        <f t="shared" si="50"/>
        <v>4.5454545454545456E-2</v>
      </c>
      <c r="I476" s="7">
        <f t="shared" si="50"/>
        <v>9.0909090909090912E-2</v>
      </c>
      <c r="J476" s="7">
        <f t="shared" si="50"/>
        <v>9.0909090909090912E-2</v>
      </c>
      <c r="K476" s="7">
        <f t="shared" si="50"/>
        <v>0</v>
      </c>
      <c r="L476" s="7">
        <f t="shared" si="50"/>
        <v>0</v>
      </c>
      <c r="M476" s="7">
        <f t="shared" si="50"/>
        <v>4.5454545454545456E-2</v>
      </c>
      <c r="N476" s="7">
        <f t="shared" si="50"/>
        <v>4.5454545454545456E-2</v>
      </c>
      <c r="O476" s="7">
        <f t="shared" si="50"/>
        <v>0</v>
      </c>
      <c r="P476" s="7">
        <f t="shared" si="50"/>
        <v>0</v>
      </c>
      <c r="Q476" s="7">
        <f t="shared" si="50"/>
        <v>4.5454545454545456E-2</v>
      </c>
      <c r="R476" s="7">
        <f t="shared" si="50"/>
        <v>9.0909090909090912E-2</v>
      </c>
      <c r="S476" s="7">
        <f t="shared" si="50"/>
        <v>0</v>
      </c>
      <c r="T476" s="7">
        <f t="shared" si="50"/>
        <v>0</v>
      </c>
      <c r="U476" s="7">
        <f t="shared" ref="U476" si="51">U457/$V457</f>
        <v>4.5454545454545456E-2</v>
      </c>
      <c r="V476" s="2" t="s">
        <v>195</v>
      </c>
      <c r="W476" s="2" t="s">
        <v>194</v>
      </c>
      <c r="X476" s="2" t="s">
        <v>198</v>
      </c>
    </row>
    <row r="477" spans="1:24" x14ac:dyDescent="0.25">
      <c r="A477" s="13" t="s">
        <v>24</v>
      </c>
      <c r="B477" s="7">
        <f t="shared" ref="B477:T477" si="52">B458/$V458</f>
        <v>5.2631578947368418E-2</v>
      </c>
      <c r="C477" s="7">
        <f t="shared" si="52"/>
        <v>0</v>
      </c>
      <c r="D477" s="7">
        <f t="shared" si="52"/>
        <v>0.10526315789473684</v>
      </c>
      <c r="E477" s="7">
        <f t="shared" si="52"/>
        <v>0</v>
      </c>
      <c r="F477" s="7">
        <f t="shared" si="52"/>
        <v>0</v>
      </c>
      <c r="G477" s="7">
        <f t="shared" si="52"/>
        <v>0</v>
      </c>
      <c r="H477" s="7">
        <f t="shared" si="52"/>
        <v>0</v>
      </c>
      <c r="I477" s="7">
        <f t="shared" si="52"/>
        <v>0.15789473684210525</v>
      </c>
      <c r="J477" s="7">
        <f t="shared" si="52"/>
        <v>5.2631578947368418E-2</v>
      </c>
      <c r="K477" s="7">
        <f t="shared" si="52"/>
        <v>0.10526315789473684</v>
      </c>
      <c r="L477" s="7">
        <f t="shared" si="52"/>
        <v>0</v>
      </c>
      <c r="M477" s="7">
        <f t="shared" si="52"/>
        <v>0</v>
      </c>
      <c r="N477" s="7">
        <f t="shared" si="52"/>
        <v>0</v>
      </c>
      <c r="O477" s="7">
        <f t="shared" si="52"/>
        <v>0</v>
      </c>
      <c r="P477" s="7">
        <f t="shared" si="52"/>
        <v>0</v>
      </c>
      <c r="Q477" s="7">
        <f t="shared" si="52"/>
        <v>0.10526315789473684</v>
      </c>
      <c r="R477" s="32">
        <f t="shared" si="52"/>
        <v>0.26315789473684209</v>
      </c>
      <c r="S477" s="7">
        <f t="shared" si="52"/>
        <v>5.2631578947368418E-2</v>
      </c>
      <c r="T477" s="7">
        <f t="shared" si="52"/>
        <v>5.2631578947368418E-2</v>
      </c>
      <c r="U477" s="7">
        <f t="shared" ref="U477" si="53">U458/$V458</f>
        <v>5.2631578947368418E-2</v>
      </c>
      <c r="V477" s="2" t="s">
        <v>183</v>
      </c>
      <c r="W477" s="2" t="s">
        <v>194</v>
      </c>
      <c r="X477" s="2" t="s">
        <v>181</v>
      </c>
    </row>
    <row r="478" spans="1:24" x14ac:dyDescent="0.25">
      <c r="A478" s="13" t="s">
        <v>26</v>
      </c>
      <c r="B478" s="7">
        <f t="shared" ref="B478:T478" si="54">B459/$V459</f>
        <v>0</v>
      </c>
      <c r="C478" s="7">
        <f t="shared" si="54"/>
        <v>0</v>
      </c>
      <c r="D478" s="7">
        <f t="shared" si="54"/>
        <v>0</v>
      </c>
      <c r="E478" s="7">
        <f t="shared" si="54"/>
        <v>0</v>
      </c>
      <c r="F478" s="7">
        <f t="shared" si="54"/>
        <v>0</v>
      </c>
      <c r="G478" s="7">
        <f t="shared" si="54"/>
        <v>0</v>
      </c>
      <c r="H478" s="7">
        <f t="shared" si="54"/>
        <v>0</v>
      </c>
      <c r="I478" s="7">
        <f t="shared" si="54"/>
        <v>0.14285714285714285</v>
      </c>
      <c r="J478" s="7">
        <f t="shared" si="54"/>
        <v>0.2857142857142857</v>
      </c>
      <c r="K478" s="7">
        <f t="shared" si="54"/>
        <v>0</v>
      </c>
      <c r="L478" s="7">
        <f t="shared" si="54"/>
        <v>0</v>
      </c>
      <c r="M478" s="7">
        <f t="shared" si="54"/>
        <v>0</v>
      </c>
      <c r="N478" s="7">
        <f t="shared" si="54"/>
        <v>0</v>
      </c>
      <c r="O478" s="7">
        <f t="shared" si="54"/>
        <v>0</v>
      </c>
      <c r="P478" s="7">
        <f t="shared" si="54"/>
        <v>0</v>
      </c>
      <c r="Q478" s="32">
        <f t="shared" si="54"/>
        <v>0.42857142857142855</v>
      </c>
      <c r="R478" s="7">
        <f t="shared" si="54"/>
        <v>0.14285714285714285</v>
      </c>
      <c r="S478" s="7">
        <f t="shared" si="54"/>
        <v>0</v>
      </c>
      <c r="T478" s="7">
        <f t="shared" si="54"/>
        <v>0</v>
      </c>
      <c r="U478" s="7">
        <f t="shared" ref="U478" si="55">U459/$V459</f>
        <v>0</v>
      </c>
      <c r="V478" s="2" t="s">
        <v>181</v>
      </c>
      <c r="W478" s="2" t="s">
        <v>198</v>
      </c>
      <c r="X478" s="2" t="s">
        <v>183</v>
      </c>
    </row>
    <row r="479" spans="1:24" x14ac:dyDescent="0.25">
      <c r="A479" s="13" t="s">
        <v>7</v>
      </c>
      <c r="B479" s="7">
        <f t="shared" ref="B479:T479" si="56">B460/$V460</f>
        <v>0</v>
      </c>
      <c r="C479" s="7">
        <f t="shared" si="56"/>
        <v>7.1428571428571425E-2</v>
      </c>
      <c r="D479" s="7">
        <f t="shared" si="56"/>
        <v>0</v>
      </c>
      <c r="E479" s="7">
        <f t="shared" si="56"/>
        <v>7.1428571428571425E-2</v>
      </c>
      <c r="F479" s="7">
        <f t="shared" si="56"/>
        <v>0.21428571428571427</v>
      </c>
      <c r="G479" s="7">
        <f t="shared" si="56"/>
        <v>0</v>
      </c>
      <c r="H479" s="7">
        <f t="shared" si="56"/>
        <v>0</v>
      </c>
      <c r="I479" s="7">
        <f t="shared" si="56"/>
        <v>0</v>
      </c>
      <c r="J479" s="7">
        <f t="shared" si="56"/>
        <v>0</v>
      </c>
      <c r="K479" s="7">
        <f t="shared" si="56"/>
        <v>3.5714285714285712E-2</v>
      </c>
      <c r="L479" s="7">
        <f t="shared" si="56"/>
        <v>0</v>
      </c>
      <c r="M479" s="32">
        <f t="shared" si="56"/>
        <v>0.35714285714285715</v>
      </c>
      <c r="N479" s="7">
        <f t="shared" si="56"/>
        <v>0</v>
      </c>
      <c r="O479" s="7">
        <f t="shared" si="56"/>
        <v>0</v>
      </c>
      <c r="P479" s="7">
        <f t="shared" si="56"/>
        <v>0</v>
      </c>
      <c r="Q479" s="7">
        <f t="shared" si="56"/>
        <v>0.21428571428571427</v>
      </c>
      <c r="R479" s="7">
        <f t="shared" si="56"/>
        <v>0</v>
      </c>
      <c r="S479" s="7">
        <f t="shared" si="56"/>
        <v>0</v>
      </c>
      <c r="T479" s="7">
        <f t="shared" si="56"/>
        <v>3.5714285714285712E-2</v>
      </c>
      <c r="U479" s="7">
        <f t="shared" ref="U479" si="57">U460/$V460</f>
        <v>0</v>
      </c>
      <c r="V479" s="2" t="s">
        <v>187</v>
      </c>
      <c r="W479" s="2" t="s">
        <v>190</v>
      </c>
      <c r="X479" s="2" t="s">
        <v>181</v>
      </c>
    </row>
    <row r="480" spans="1:24" x14ac:dyDescent="0.25">
      <c r="A480" s="13" t="s">
        <v>10</v>
      </c>
      <c r="B480" s="7">
        <f t="shared" ref="B480:T480" si="58">B461/$V461</f>
        <v>0</v>
      </c>
      <c r="C480" s="7">
        <f t="shared" si="58"/>
        <v>0</v>
      </c>
      <c r="D480" s="7">
        <f t="shared" si="58"/>
        <v>0</v>
      </c>
      <c r="E480" s="7">
        <f t="shared" si="58"/>
        <v>0</v>
      </c>
      <c r="F480" s="7">
        <f t="shared" si="58"/>
        <v>0</v>
      </c>
      <c r="G480" s="7">
        <f t="shared" si="58"/>
        <v>0</v>
      </c>
      <c r="H480" s="7">
        <f t="shared" si="58"/>
        <v>0</v>
      </c>
      <c r="I480" s="7">
        <f t="shared" si="58"/>
        <v>0.25</v>
      </c>
      <c r="J480" s="7">
        <f t="shared" si="58"/>
        <v>0</v>
      </c>
      <c r="K480" s="7">
        <f t="shared" si="58"/>
        <v>0</v>
      </c>
      <c r="L480" s="7">
        <f t="shared" si="58"/>
        <v>0</v>
      </c>
      <c r="M480" s="7">
        <f t="shared" si="58"/>
        <v>0</v>
      </c>
      <c r="N480" s="7">
        <f t="shared" si="58"/>
        <v>0</v>
      </c>
      <c r="O480" s="7">
        <f t="shared" si="58"/>
        <v>0</v>
      </c>
      <c r="P480" s="7">
        <f t="shared" si="58"/>
        <v>0</v>
      </c>
      <c r="Q480" s="7">
        <f t="shared" si="58"/>
        <v>0</v>
      </c>
      <c r="R480" s="7">
        <f t="shared" si="58"/>
        <v>0.25</v>
      </c>
      <c r="S480" s="32">
        <f t="shared" si="58"/>
        <v>0.5</v>
      </c>
      <c r="T480" s="7">
        <f t="shared" si="58"/>
        <v>0</v>
      </c>
      <c r="U480" s="7">
        <f t="shared" ref="U480" si="59">U461/$V461</f>
        <v>0</v>
      </c>
      <c r="V480" s="2" t="s">
        <v>182</v>
      </c>
      <c r="W480" s="2" t="s">
        <v>194</v>
      </c>
      <c r="X480" s="2" t="s">
        <v>183</v>
      </c>
    </row>
    <row r="481" spans="2:21" x14ac:dyDescent="0.25">
      <c r="B481" s="7">
        <f>SUM(B465:B480)</f>
        <v>0.42534986992831331</v>
      </c>
      <c r="C481" s="7">
        <f t="shared" ref="C481:U481" si="60">SUM(C465:C480)</f>
        <v>0.66812874526870458</v>
      </c>
      <c r="D481" s="7">
        <f t="shared" si="60"/>
        <v>0.95269734982772591</v>
      </c>
      <c r="E481" s="7">
        <f t="shared" si="60"/>
        <v>1.0931737121472487</v>
      </c>
      <c r="F481" s="7">
        <f t="shared" si="60"/>
        <v>0.29800754800754803</v>
      </c>
      <c r="G481" s="7">
        <f t="shared" si="60"/>
        <v>0.67492879276642659</v>
      </c>
      <c r="H481" s="7">
        <f t="shared" si="60"/>
        <v>0.5444011938813581</v>
      </c>
      <c r="I481" s="7">
        <f t="shared" si="60"/>
        <v>1.7027997225744884</v>
      </c>
      <c r="J481" s="7">
        <f t="shared" si="60"/>
        <v>0.67523241632248765</v>
      </c>
      <c r="K481" s="7">
        <f t="shared" si="60"/>
        <v>0.37481829967262498</v>
      </c>
      <c r="L481" s="7">
        <f t="shared" si="60"/>
        <v>5.8823529411764705E-2</v>
      </c>
      <c r="M481" s="7">
        <f t="shared" si="60"/>
        <v>1.7499764395863271</v>
      </c>
      <c r="N481" s="7">
        <f t="shared" si="60"/>
        <v>0.50040827452497816</v>
      </c>
      <c r="O481" s="7">
        <f t="shared" si="60"/>
        <v>0.53705773782381172</v>
      </c>
      <c r="P481" s="7">
        <f t="shared" si="60"/>
        <v>0.35257287172471852</v>
      </c>
      <c r="Q481" s="7">
        <f t="shared" si="60"/>
        <v>1.0504235744707862</v>
      </c>
      <c r="R481" s="7">
        <f t="shared" si="60"/>
        <v>2.2861365196990513</v>
      </c>
      <c r="S481" s="7">
        <f t="shared" si="60"/>
        <v>0.70284437724498205</v>
      </c>
      <c r="T481" s="7">
        <f t="shared" si="60"/>
        <v>0.71168084296856515</v>
      </c>
      <c r="U481" s="7">
        <f t="shared" si="60"/>
        <v>0.64053818214808911</v>
      </c>
    </row>
  </sheetData>
  <mergeCells count="3">
    <mergeCell ref="B159:Q159"/>
    <mergeCell ref="M29:N32"/>
    <mergeCell ref="M28:N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28</xdr:row>
                    <xdr:rowOff>114300</xdr:rowOff>
                  </from>
                  <to>
                    <xdr:col>13</xdr:col>
                    <xdr:colOff>342900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0.47058823529411764</v>
      </c>
      <c r="E2" s="7">
        <v>0.46153846153846156</v>
      </c>
      <c r="F2" s="7">
        <v>0.61111111111111116</v>
      </c>
      <c r="G2" s="7">
        <v>0.6875</v>
      </c>
      <c r="H2" s="7">
        <v>0.6</v>
      </c>
      <c r="I2" s="7">
        <v>0.8</v>
      </c>
      <c r="J2" s="7">
        <v>0.53846153846153844</v>
      </c>
      <c r="K2" s="7">
        <v>0.5714285714285714</v>
      </c>
      <c r="L2" s="7">
        <v>0.61538461538461542</v>
      </c>
      <c r="M2" s="7">
        <v>0.2</v>
      </c>
      <c r="N2" s="7">
        <v>0.25</v>
      </c>
      <c r="O2" s="7">
        <v>0</v>
      </c>
      <c r="P2" s="7">
        <v>0.72222222222222221</v>
      </c>
      <c r="Q2" s="7">
        <v>0</v>
      </c>
      <c r="R2" t="s">
        <v>32</v>
      </c>
      <c r="S2" t="s">
        <v>72</v>
      </c>
      <c r="T2" s="8" t="s">
        <v>141</v>
      </c>
      <c r="U2" s="8" t="s">
        <v>164</v>
      </c>
      <c r="V2" s="8" t="s">
        <v>117</v>
      </c>
      <c r="W2" s="8" t="s">
        <v>205</v>
      </c>
      <c r="X2" s="8" t="s">
        <v>143</v>
      </c>
      <c r="Y2" s="8" t="s">
        <v>99</v>
      </c>
      <c r="Z2" s="8" t="s">
        <v>171</v>
      </c>
      <c r="AA2" s="8" t="s">
        <v>73</v>
      </c>
      <c r="AB2" s="8" t="s">
        <v>108</v>
      </c>
      <c r="AC2" s="8" t="s">
        <v>62</v>
      </c>
      <c r="AD2" s="8" t="s">
        <v>67</v>
      </c>
      <c r="AE2" s="8" t="s">
        <v>64</v>
      </c>
      <c r="AF2" s="8" t="s">
        <v>206</v>
      </c>
      <c r="AG2" s="8" t="s">
        <v>58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t="s">
        <v>72</v>
      </c>
      <c r="S3" t="s">
        <v>32</v>
      </c>
      <c r="T3" s="8" t="s">
        <v>59</v>
      </c>
      <c r="U3" s="8" t="s">
        <v>84</v>
      </c>
      <c r="V3" s="8" t="s">
        <v>57</v>
      </c>
      <c r="W3" s="8" t="s">
        <v>58</v>
      </c>
      <c r="X3" s="8" t="s">
        <v>67</v>
      </c>
      <c r="Y3" s="8" t="s">
        <v>57</v>
      </c>
      <c r="Z3" s="8" t="s">
        <v>67</v>
      </c>
      <c r="AA3" s="8" t="s">
        <v>62</v>
      </c>
      <c r="AB3" s="8" t="s">
        <v>63</v>
      </c>
      <c r="AC3" s="8" t="s">
        <v>64</v>
      </c>
      <c r="AD3" s="8" t="s">
        <v>32</v>
      </c>
      <c r="AE3" s="8" t="s">
        <v>32</v>
      </c>
      <c r="AF3" s="8" t="s">
        <v>57</v>
      </c>
      <c r="AG3" s="8" t="s">
        <v>32</v>
      </c>
    </row>
    <row r="4" spans="1:33" x14ac:dyDescent="0.25">
      <c r="A4" s="1" t="s">
        <v>16</v>
      </c>
      <c r="B4" s="7">
        <v>0.47058823529411764</v>
      </c>
      <c r="C4" s="7">
        <v>1</v>
      </c>
      <c r="D4" s="7" t="s">
        <v>32</v>
      </c>
      <c r="E4" s="7">
        <v>0.33333333333333331</v>
      </c>
      <c r="F4" s="7">
        <v>0.55000000000000004</v>
      </c>
      <c r="G4" s="7">
        <v>0.44444444444444442</v>
      </c>
      <c r="H4" s="7">
        <v>0.42105263157894735</v>
      </c>
      <c r="I4" s="7">
        <v>0.44444444444444442</v>
      </c>
      <c r="J4" s="7">
        <v>0.44444444444444442</v>
      </c>
      <c r="K4" s="7">
        <v>0.42857142857142855</v>
      </c>
      <c r="L4" s="7">
        <v>0.54545454545454541</v>
      </c>
      <c r="M4" s="7">
        <v>0.16666666666666666</v>
      </c>
      <c r="N4" s="7">
        <v>0.14285714285714285</v>
      </c>
      <c r="O4" s="7">
        <v>0.33333333333333331</v>
      </c>
      <c r="P4" s="7">
        <v>0.61538461538461542</v>
      </c>
      <c r="Q4" s="7" t="s">
        <v>32</v>
      </c>
      <c r="R4" t="s">
        <v>141</v>
      </c>
      <c r="S4" t="s">
        <v>59</v>
      </c>
      <c r="T4" s="8" t="s">
        <v>32</v>
      </c>
      <c r="U4" s="8" t="s">
        <v>98</v>
      </c>
      <c r="V4" s="8" t="s">
        <v>118</v>
      </c>
      <c r="W4" s="8" t="s">
        <v>77</v>
      </c>
      <c r="X4" s="8" t="s">
        <v>207</v>
      </c>
      <c r="Y4" s="8" t="s">
        <v>77</v>
      </c>
      <c r="Z4" s="8" t="s">
        <v>77</v>
      </c>
      <c r="AA4" s="8" t="s">
        <v>70</v>
      </c>
      <c r="AB4" s="8" t="s">
        <v>51</v>
      </c>
      <c r="AC4" s="8" t="s">
        <v>208</v>
      </c>
      <c r="AD4" s="8" t="s">
        <v>65</v>
      </c>
      <c r="AE4" s="8" t="s">
        <v>61</v>
      </c>
      <c r="AF4" s="8" t="s">
        <v>108</v>
      </c>
      <c r="AG4" s="8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0.33333333333333331</v>
      </c>
      <c r="E5" s="7" t="s">
        <v>32</v>
      </c>
      <c r="F5" s="7">
        <v>0.6</v>
      </c>
      <c r="G5" s="7">
        <v>0.55555555555555558</v>
      </c>
      <c r="H5" s="7">
        <v>0.55555555555555558</v>
      </c>
      <c r="I5" s="7">
        <v>0.5</v>
      </c>
      <c r="J5" s="7">
        <v>0.47058823529411764</v>
      </c>
      <c r="K5" s="7">
        <v>0.14285714285714285</v>
      </c>
      <c r="L5" s="7">
        <v>0.5714285714285714</v>
      </c>
      <c r="M5" s="7">
        <v>0.5</v>
      </c>
      <c r="N5" s="7">
        <v>0.42857142857142855</v>
      </c>
      <c r="O5" s="7" t="s">
        <v>32</v>
      </c>
      <c r="P5" s="7">
        <v>0.54545454545454541</v>
      </c>
      <c r="Q5" s="7" t="s">
        <v>32</v>
      </c>
      <c r="R5" t="s">
        <v>164</v>
      </c>
      <c r="S5" t="s">
        <v>84</v>
      </c>
      <c r="T5" s="8" t="s">
        <v>98</v>
      </c>
      <c r="U5" s="8" t="s">
        <v>32</v>
      </c>
      <c r="V5" s="8" t="s">
        <v>170</v>
      </c>
      <c r="W5" s="8" t="s">
        <v>121</v>
      </c>
      <c r="X5" s="8" t="s">
        <v>121</v>
      </c>
      <c r="Y5" s="8" t="s">
        <v>63</v>
      </c>
      <c r="Z5" s="8" t="s">
        <v>141</v>
      </c>
      <c r="AA5" s="8" t="s">
        <v>65</v>
      </c>
      <c r="AB5" s="8" t="s">
        <v>73</v>
      </c>
      <c r="AC5" s="8" t="s">
        <v>52</v>
      </c>
      <c r="AD5" s="8" t="s">
        <v>70</v>
      </c>
      <c r="AE5" s="8" t="s">
        <v>32</v>
      </c>
      <c r="AF5" s="8" t="s">
        <v>51</v>
      </c>
      <c r="AG5" s="8" t="s">
        <v>32</v>
      </c>
    </row>
    <row r="6" spans="1:33" x14ac:dyDescent="0.25">
      <c r="A6" s="1" t="s">
        <v>4</v>
      </c>
      <c r="B6" s="7">
        <v>0.61111111111111116</v>
      </c>
      <c r="C6" s="7">
        <v>0.5</v>
      </c>
      <c r="D6" s="7">
        <v>0.55000000000000004</v>
      </c>
      <c r="E6" s="7">
        <v>0.6</v>
      </c>
      <c r="F6" s="7" t="s">
        <v>32</v>
      </c>
      <c r="G6" s="7">
        <v>0.66666666666666663</v>
      </c>
      <c r="H6" s="7">
        <v>0.59259259259259256</v>
      </c>
      <c r="I6" s="7">
        <v>0.72727272727272729</v>
      </c>
      <c r="J6" s="7">
        <v>0.69230769230769229</v>
      </c>
      <c r="K6" s="7">
        <v>0.45454545454545453</v>
      </c>
      <c r="L6" s="7">
        <v>0.5</v>
      </c>
      <c r="M6" s="7">
        <v>0.35714285714285715</v>
      </c>
      <c r="N6" s="7">
        <v>0.5714285714285714</v>
      </c>
      <c r="O6" s="7">
        <v>1</v>
      </c>
      <c r="P6" s="7">
        <v>0.84615384615384615</v>
      </c>
      <c r="Q6" s="7" t="s">
        <v>32</v>
      </c>
      <c r="R6" t="s">
        <v>117</v>
      </c>
      <c r="S6" t="s">
        <v>57</v>
      </c>
      <c r="T6" s="8" t="s">
        <v>118</v>
      </c>
      <c r="U6" s="8" t="s">
        <v>170</v>
      </c>
      <c r="V6" s="8" t="s">
        <v>32</v>
      </c>
      <c r="W6" s="8" t="s">
        <v>127</v>
      </c>
      <c r="X6" s="8" t="s">
        <v>209</v>
      </c>
      <c r="Y6" s="8" t="s">
        <v>105</v>
      </c>
      <c r="Z6" s="8" t="s">
        <v>103</v>
      </c>
      <c r="AA6" s="8" t="s">
        <v>66</v>
      </c>
      <c r="AB6" s="8" t="s">
        <v>56</v>
      </c>
      <c r="AC6" s="8" t="s">
        <v>109</v>
      </c>
      <c r="AD6" s="8" t="s">
        <v>73</v>
      </c>
      <c r="AE6" s="8" t="s">
        <v>86</v>
      </c>
      <c r="AF6" s="8" t="s">
        <v>210</v>
      </c>
      <c r="AG6" s="8" t="s">
        <v>32</v>
      </c>
    </row>
    <row r="7" spans="1:33" x14ac:dyDescent="0.25">
      <c r="A7" s="1" t="s">
        <v>6</v>
      </c>
      <c r="B7" s="7">
        <v>0.6875</v>
      </c>
      <c r="C7" s="7">
        <v>0</v>
      </c>
      <c r="D7" s="7">
        <v>0.44444444444444442</v>
      </c>
      <c r="E7" s="7">
        <v>0.55555555555555558</v>
      </c>
      <c r="F7" s="7">
        <v>0.66666666666666663</v>
      </c>
      <c r="G7" s="7" t="s">
        <v>32</v>
      </c>
      <c r="H7" s="7">
        <v>0.60869565217391308</v>
      </c>
      <c r="I7" s="7">
        <v>0.42857142857142855</v>
      </c>
      <c r="J7" s="7">
        <v>0.58823529411764708</v>
      </c>
      <c r="K7" s="7">
        <v>0.45454545454545453</v>
      </c>
      <c r="L7" s="7">
        <v>0.66666666666666663</v>
      </c>
      <c r="M7" s="7">
        <v>0.45454545454545453</v>
      </c>
      <c r="N7" s="7">
        <v>0.4</v>
      </c>
      <c r="O7" s="7">
        <v>0</v>
      </c>
      <c r="P7" s="7">
        <v>0.83333333333333337</v>
      </c>
      <c r="Q7" s="7" t="s">
        <v>32</v>
      </c>
      <c r="R7" t="s">
        <v>205</v>
      </c>
      <c r="S7" t="s">
        <v>58</v>
      </c>
      <c r="T7" s="8" t="s">
        <v>77</v>
      </c>
      <c r="U7" s="8" t="s">
        <v>121</v>
      </c>
      <c r="V7" s="8" t="s">
        <v>127</v>
      </c>
      <c r="W7" s="8" t="s">
        <v>32</v>
      </c>
      <c r="X7" s="8" t="s">
        <v>126</v>
      </c>
      <c r="Y7" s="8" t="s">
        <v>70</v>
      </c>
      <c r="Z7" s="8" t="s">
        <v>211</v>
      </c>
      <c r="AA7" s="8" t="s">
        <v>66</v>
      </c>
      <c r="AB7" s="8" t="s">
        <v>76</v>
      </c>
      <c r="AC7" s="8" t="s">
        <v>66</v>
      </c>
      <c r="AD7" s="8" t="s">
        <v>71</v>
      </c>
      <c r="AE7" s="8" t="s">
        <v>58</v>
      </c>
      <c r="AF7" s="8" t="s">
        <v>212</v>
      </c>
      <c r="AG7" s="8" t="s">
        <v>32</v>
      </c>
    </row>
    <row r="8" spans="1:33" x14ac:dyDescent="0.25">
      <c r="A8" s="1" t="s">
        <v>5</v>
      </c>
      <c r="B8" s="7">
        <v>0.6</v>
      </c>
      <c r="C8" s="7">
        <v>0.25</v>
      </c>
      <c r="D8" s="7">
        <v>0.42105263157894735</v>
      </c>
      <c r="E8" s="7">
        <v>0.55555555555555558</v>
      </c>
      <c r="F8" s="7">
        <v>0.59259259259259256</v>
      </c>
      <c r="G8" s="7">
        <v>0.60869565217391308</v>
      </c>
      <c r="H8" s="7" t="s">
        <v>32</v>
      </c>
      <c r="I8" s="7">
        <v>0.41666666666666669</v>
      </c>
      <c r="J8" s="7">
        <v>0.5</v>
      </c>
      <c r="K8" s="7">
        <v>0.42857142857142855</v>
      </c>
      <c r="L8" s="7">
        <v>0.5714285714285714</v>
      </c>
      <c r="M8" s="7">
        <v>0.36363636363636365</v>
      </c>
      <c r="N8" s="7">
        <v>0.25</v>
      </c>
      <c r="O8" s="7" t="s">
        <v>32</v>
      </c>
      <c r="P8" s="7">
        <v>0.76923076923076927</v>
      </c>
      <c r="Q8" s="7" t="s">
        <v>32</v>
      </c>
      <c r="R8" t="s">
        <v>143</v>
      </c>
      <c r="S8" t="s">
        <v>67</v>
      </c>
      <c r="T8" s="8" t="s">
        <v>207</v>
      </c>
      <c r="U8" s="8" t="s">
        <v>121</v>
      </c>
      <c r="V8" s="8" t="s">
        <v>209</v>
      </c>
      <c r="W8" s="8" t="s">
        <v>126</v>
      </c>
      <c r="X8" s="8" t="s">
        <v>32</v>
      </c>
      <c r="Y8" s="8" t="s">
        <v>80</v>
      </c>
      <c r="Z8" s="8" t="s">
        <v>120</v>
      </c>
      <c r="AA8" s="8" t="s">
        <v>110</v>
      </c>
      <c r="AB8" s="8" t="s">
        <v>73</v>
      </c>
      <c r="AC8" s="8" t="s">
        <v>111</v>
      </c>
      <c r="AD8" s="8" t="s">
        <v>67</v>
      </c>
      <c r="AE8" s="8" t="s">
        <v>32</v>
      </c>
      <c r="AF8" s="8" t="s">
        <v>142</v>
      </c>
      <c r="AG8" s="8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0.72727272727272729</v>
      </c>
      <c r="G9" s="7">
        <v>0.42857142857142855</v>
      </c>
      <c r="H9" s="7">
        <v>0.41666666666666669</v>
      </c>
      <c r="I9" s="7" t="s">
        <v>32</v>
      </c>
      <c r="J9" s="7">
        <v>0.375</v>
      </c>
      <c r="K9" s="7">
        <v>0.44444444444444442</v>
      </c>
      <c r="L9" s="7">
        <v>0.5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t="s">
        <v>99</v>
      </c>
      <c r="S9" t="s">
        <v>57</v>
      </c>
      <c r="T9" s="8" t="s">
        <v>77</v>
      </c>
      <c r="U9" s="8" t="s">
        <v>63</v>
      </c>
      <c r="V9" s="8" t="s">
        <v>105</v>
      </c>
      <c r="W9" s="8" t="s">
        <v>70</v>
      </c>
      <c r="X9" s="8" t="s">
        <v>80</v>
      </c>
      <c r="Y9" s="8" t="s">
        <v>32</v>
      </c>
      <c r="Z9" s="8" t="s">
        <v>169</v>
      </c>
      <c r="AA9" s="8" t="s">
        <v>77</v>
      </c>
      <c r="AB9" s="8" t="s">
        <v>63</v>
      </c>
      <c r="AC9" s="8" t="s">
        <v>82</v>
      </c>
      <c r="AD9" s="8" t="s">
        <v>113</v>
      </c>
      <c r="AE9" s="8" t="s">
        <v>72</v>
      </c>
      <c r="AF9" s="8" t="s">
        <v>122</v>
      </c>
      <c r="AG9" s="8" t="s">
        <v>84</v>
      </c>
    </row>
    <row r="10" spans="1:33" x14ac:dyDescent="0.25">
      <c r="A10" s="1" t="s">
        <v>12</v>
      </c>
      <c r="B10" s="7">
        <v>0.53846153846153844</v>
      </c>
      <c r="C10" s="7">
        <v>0.25</v>
      </c>
      <c r="D10" s="7">
        <v>0.44444444444444442</v>
      </c>
      <c r="E10" s="7">
        <v>0.47058823529411764</v>
      </c>
      <c r="F10" s="7">
        <v>0.69230769230769229</v>
      </c>
      <c r="G10" s="7">
        <v>0.58823529411764708</v>
      </c>
      <c r="H10" s="7">
        <v>0.5</v>
      </c>
      <c r="I10" s="7">
        <v>0.375</v>
      </c>
      <c r="J10" s="7" t="s">
        <v>32</v>
      </c>
      <c r="K10" s="7">
        <v>0.33333333333333331</v>
      </c>
      <c r="L10" s="7">
        <v>0.5714285714285714</v>
      </c>
      <c r="M10" s="7">
        <v>0.5</v>
      </c>
      <c r="N10" s="7">
        <v>0.14285714285714285</v>
      </c>
      <c r="O10" s="7">
        <v>0</v>
      </c>
      <c r="P10" s="7">
        <v>0.66666666666666663</v>
      </c>
      <c r="Q10" s="7">
        <v>0</v>
      </c>
      <c r="R10" t="s">
        <v>171</v>
      </c>
      <c r="S10" t="s">
        <v>67</v>
      </c>
      <c r="T10" s="8" t="s">
        <v>77</v>
      </c>
      <c r="U10" s="8" t="s">
        <v>141</v>
      </c>
      <c r="V10" s="8" t="s">
        <v>103</v>
      </c>
      <c r="W10" s="8" t="s">
        <v>211</v>
      </c>
      <c r="X10" s="8" t="s">
        <v>120</v>
      </c>
      <c r="Y10" s="8" t="s">
        <v>169</v>
      </c>
      <c r="Z10" s="8" t="s">
        <v>32</v>
      </c>
      <c r="AA10" s="8" t="s">
        <v>114</v>
      </c>
      <c r="AB10" s="8" t="s">
        <v>69</v>
      </c>
      <c r="AC10" s="8" t="s">
        <v>78</v>
      </c>
      <c r="AD10" s="8" t="s">
        <v>65</v>
      </c>
      <c r="AE10" s="8" t="s">
        <v>64</v>
      </c>
      <c r="AF10" s="8" t="s">
        <v>127</v>
      </c>
      <c r="AG10" s="8" t="s">
        <v>84</v>
      </c>
    </row>
    <row r="11" spans="1:33" x14ac:dyDescent="0.25">
      <c r="A11" s="2" t="s">
        <v>23</v>
      </c>
      <c r="B11" s="7">
        <v>0.5714285714285714</v>
      </c>
      <c r="C11" s="7">
        <v>0.2</v>
      </c>
      <c r="D11" s="7">
        <v>0.42857142857142855</v>
      </c>
      <c r="E11" s="7">
        <v>0.14285714285714285</v>
      </c>
      <c r="F11" s="7">
        <v>0.45454545454545453</v>
      </c>
      <c r="G11" s="7">
        <v>0.45454545454545453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0.66666666666666663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t="s">
        <v>73</v>
      </c>
      <c r="S11" t="s">
        <v>62</v>
      </c>
      <c r="T11" s="8" t="s">
        <v>70</v>
      </c>
      <c r="U11" s="8" t="s">
        <v>65</v>
      </c>
      <c r="V11" s="8" t="s">
        <v>66</v>
      </c>
      <c r="W11" s="8" t="s">
        <v>66</v>
      </c>
      <c r="X11" s="8" t="s">
        <v>110</v>
      </c>
      <c r="Y11" s="8" t="s">
        <v>77</v>
      </c>
      <c r="Z11" s="8" t="s">
        <v>114</v>
      </c>
      <c r="AA11" s="8" t="s">
        <v>32</v>
      </c>
      <c r="AB11" s="8" t="s">
        <v>100</v>
      </c>
      <c r="AC11" s="8" t="s">
        <v>65</v>
      </c>
      <c r="AD11" s="8" t="s">
        <v>50</v>
      </c>
      <c r="AE11" s="8" t="s">
        <v>86</v>
      </c>
      <c r="AF11" s="8" t="s">
        <v>50</v>
      </c>
      <c r="AG11" s="8" t="s">
        <v>64</v>
      </c>
    </row>
    <row r="12" spans="1:33" x14ac:dyDescent="0.25">
      <c r="A12" s="2" t="s">
        <v>11</v>
      </c>
      <c r="B12" s="7">
        <v>0.61538461538461542</v>
      </c>
      <c r="C12" s="7">
        <v>0.5</v>
      </c>
      <c r="D12" s="7">
        <v>0.54545454545454541</v>
      </c>
      <c r="E12" s="7">
        <v>0.5714285714285714</v>
      </c>
      <c r="F12" s="7">
        <v>0.5</v>
      </c>
      <c r="G12" s="7">
        <v>0.66666666666666663</v>
      </c>
      <c r="H12" s="7">
        <v>0.5714285714285714</v>
      </c>
      <c r="I12" s="7">
        <v>0.5</v>
      </c>
      <c r="J12" s="7">
        <v>0.5714285714285714</v>
      </c>
      <c r="K12" s="7">
        <v>0.66666666666666663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0.75</v>
      </c>
      <c r="Q12" s="7">
        <v>0</v>
      </c>
      <c r="R12" t="s">
        <v>108</v>
      </c>
      <c r="S12" t="s">
        <v>63</v>
      </c>
      <c r="T12" s="8" t="s">
        <v>51</v>
      </c>
      <c r="U12" s="8" t="s">
        <v>73</v>
      </c>
      <c r="V12" s="8" t="s">
        <v>56</v>
      </c>
      <c r="W12" s="8" t="s">
        <v>76</v>
      </c>
      <c r="X12" s="8" t="s">
        <v>73</v>
      </c>
      <c r="Y12" s="8" t="s">
        <v>63</v>
      </c>
      <c r="Z12" s="8" t="s">
        <v>69</v>
      </c>
      <c r="AA12" s="8" t="s">
        <v>100</v>
      </c>
      <c r="AB12" s="8" t="s">
        <v>32</v>
      </c>
      <c r="AC12" s="8" t="s">
        <v>67</v>
      </c>
      <c r="AD12" s="8" t="s">
        <v>57</v>
      </c>
      <c r="AE12" s="8" t="s">
        <v>32</v>
      </c>
      <c r="AF12" s="8" t="s">
        <v>213</v>
      </c>
      <c r="AG12" s="8" t="s">
        <v>64</v>
      </c>
    </row>
    <row r="13" spans="1:33" x14ac:dyDescent="0.25">
      <c r="A13" s="1" t="s">
        <v>9</v>
      </c>
      <c r="B13" s="7">
        <v>0.2</v>
      </c>
      <c r="C13" s="7">
        <v>0</v>
      </c>
      <c r="D13" s="7">
        <v>0.16666666666666666</v>
      </c>
      <c r="E13" s="7">
        <v>0.5</v>
      </c>
      <c r="F13" s="7">
        <v>0.35714285714285715</v>
      </c>
      <c r="G13" s="7">
        <v>0.45454545454545453</v>
      </c>
      <c r="H13" s="7">
        <v>0.36363636363636365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0.66666666666666663</v>
      </c>
      <c r="Q13" s="7">
        <v>0</v>
      </c>
      <c r="R13" t="s">
        <v>62</v>
      </c>
      <c r="S13" t="s">
        <v>64</v>
      </c>
      <c r="T13" s="8" t="s">
        <v>208</v>
      </c>
      <c r="U13" s="8" t="s">
        <v>52</v>
      </c>
      <c r="V13" s="8" t="s">
        <v>109</v>
      </c>
      <c r="W13" s="8" t="s">
        <v>66</v>
      </c>
      <c r="X13" s="8" t="s">
        <v>111</v>
      </c>
      <c r="Y13" s="8" t="s">
        <v>82</v>
      </c>
      <c r="Z13" s="8" t="s">
        <v>78</v>
      </c>
      <c r="AA13" s="8" t="s">
        <v>65</v>
      </c>
      <c r="AB13" s="8" t="s">
        <v>67</v>
      </c>
      <c r="AC13" s="8" t="s">
        <v>32</v>
      </c>
      <c r="AD13" s="8" t="s">
        <v>64</v>
      </c>
      <c r="AE13" s="8" t="s">
        <v>32</v>
      </c>
      <c r="AF13" s="8" t="s">
        <v>100</v>
      </c>
      <c r="AG13" s="8" t="s">
        <v>64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t="s">
        <v>67</v>
      </c>
      <c r="S14" t="s">
        <v>32</v>
      </c>
      <c r="T14" s="8" t="s">
        <v>65</v>
      </c>
      <c r="U14" s="8" t="s">
        <v>70</v>
      </c>
      <c r="V14" s="8" t="s">
        <v>73</v>
      </c>
      <c r="W14" s="8" t="s">
        <v>71</v>
      </c>
      <c r="X14" s="8" t="s">
        <v>67</v>
      </c>
      <c r="Y14" s="8" t="s">
        <v>113</v>
      </c>
      <c r="Z14" s="8" t="s">
        <v>65</v>
      </c>
      <c r="AA14" s="8" t="s">
        <v>50</v>
      </c>
      <c r="AB14" s="8" t="s">
        <v>57</v>
      </c>
      <c r="AC14" s="8" t="s">
        <v>64</v>
      </c>
      <c r="AD14" s="8" t="s">
        <v>32</v>
      </c>
      <c r="AE14" s="8" t="s">
        <v>70</v>
      </c>
      <c r="AF14" s="8" t="s">
        <v>59</v>
      </c>
      <c r="AG14" s="8" t="s">
        <v>58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t="s">
        <v>64</v>
      </c>
      <c r="S15" t="s">
        <v>32</v>
      </c>
      <c r="T15" s="8" t="s">
        <v>61</v>
      </c>
      <c r="U15" s="8" t="s">
        <v>32</v>
      </c>
      <c r="V15" s="8" t="s">
        <v>86</v>
      </c>
      <c r="W15" s="8" t="s">
        <v>58</v>
      </c>
      <c r="X15" s="8" t="s">
        <v>32</v>
      </c>
      <c r="Y15" s="8" t="s">
        <v>72</v>
      </c>
      <c r="Z15" s="8" t="s">
        <v>64</v>
      </c>
      <c r="AA15" s="8" t="s">
        <v>86</v>
      </c>
      <c r="AB15" s="8" t="s">
        <v>32</v>
      </c>
      <c r="AC15" s="8" t="s">
        <v>32</v>
      </c>
      <c r="AD15" s="8" t="s">
        <v>70</v>
      </c>
      <c r="AE15" s="8" t="s">
        <v>32</v>
      </c>
      <c r="AF15" s="8" t="s">
        <v>32</v>
      </c>
      <c r="AG15" s="8" t="s">
        <v>32</v>
      </c>
    </row>
    <row r="16" spans="1:33" x14ac:dyDescent="0.25">
      <c r="A16" s="1" t="s">
        <v>7</v>
      </c>
      <c r="B16" s="7">
        <v>0.72222222222222221</v>
      </c>
      <c r="C16" s="7">
        <v>0.5</v>
      </c>
      <c r="D16" s="7">
        <v>0.61538461538461542</v>
      </c>
      <c r="E16" s="7">
        <v>0.54545454545454541</v>
      </c>
      <c r="F16" s="7">
        <v>0.84615384615384615</v>
      </c>
      <c r="G16" s="7">
        <v>0.83333333333333337</v>
      </c>
      <c r="H16" s="7">
        <v>0.76923076923076927</v>
      </c>
      <c r="I16" s="7">
        <v>1</v>
      </c>
      <c r="J16" s="7">
        <v>0.66666666666666663</v>
      </c>
      <c r="K16" s="7">
        <v>0.66666666666666663</v>
      </c>
      <c r="L16" s="7">
        <v>0.75</v>
      </c>
      <c r="M16" s="7">
        <v>0.66666666666666663</v>
      </c>
      <c r="N16" s="7">
        <v>1</v>
      </c>
      <c r="O16" s="7" t="s">
        <v>32</v>
      </c>
      <c r="P16" s="7" t="s">
        <v>32</v>
      </c>
      <c r="Q16" s="7" t="s">
        <v>32</v>
      </c>
      <c r="R16" t="s">
        <v>206</v>
      </c>
      <c r="S16" t="s">
        <v>57</v>
      </c>
      <c r="T16" s="8" t="s">
        <v>108</v>
      </c>
      <c r="U16" s="8" t="s">
        <v>51</v>
      </c>
      <c r="V16" s="8" t="s">
        <v>210</v>
      </c>
      <c r="W16" s="8" t="s">
        <v>212</v>
      </c>
      <c r="X16" s="8" t="s">
        <v>142</v>
      </c>
      <c r="Y16" s="8" t="s">
        <v>122</v>
      </c>
      <c r="Z16" s="8" t="s">
        <v>127</v>
      </c>
      <c r="AA16" s="8" t="s">
        <v>50</v>
      </c>
      <c r="AB16" s="8" t="s">
        <v>213</v>
      </c>
      <c r="AC16" s="8" t="s">
        <v>100</v>
      </c>
      <c r="AD16" s="8" t="s">
        <v>59</v>
      </c>
      <c r="AE16" s="8" t="s">
        <v>32</v>
      </c>
      <c r="AF16" s="8" t="s">
        <v>32</v>
      </c>
      <c r="AG16" s="8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t="s">
        <v>58</v>
      </c>
      <c r="S17" t="s">
        <v>32</v>
      </c>
      <c r="T17" s="8" t="s">
        <v>32</v>
      </c>
      <c r="U17" s="8" t="s">
        <v>32</v>
      </c>
      <c r="V17" s="8" t="s">
        <v>32</v>
      </c>
      <c r="W17" s="8" t="s">
        <v>32</v>
      </c>
      <c r="X17" s="8" t="s">
        <v>32</v>
      </c>
      <c r="Y17" s="8" t="s">
        <v>84</v>
      </c>
      <c r="Z17" s="8" t="s">
        <v>84</v>
      </c>
      <c r="AA17" s="8" t="s">
        <v>64</v>
      </c>
      <c r="AB17" s="8" t="s">
        <v>64</v>
      </c>
      <c r="AC17" s="8" t="s">
        <v>64</v>
      </c>
      <c r="AD17" s="8" t="s">
        <v>58</v>
      </c>
      <c r="AE17" s="8" t="s">
        <v>32</v>
      </c>
      <c r="AF17" s="8" t="s">
        <v>32</v>
      </c>
      <c r="AG17" s="8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0.46666666666666667</v>
      </c>
      <c r="E2" s="6">
        <v>0.44444444444444442</v>
      </c>
      <c r="F2" s="6">
        <v>0.52173913043478259</v>
      </c>
      <c r="G2" s="6">
        <v>0.55555555555555558</v>
      </c>
      <c r="H2" s="6">
        <v>0.42307692307692307</v>
      </c>
      <c r="I2" s="6">
        <v>0.42857142857142855</v>
      </c>
      <c r="J2" s="6">
        <v>0.4</v>
      </c>
      <c r="K2" s="6">
        <v>0.35714285714285715</v>
      </c>
      <c r="L2" s="6">
        <v>0.44444444444444442</v>
      </c>
      <c r="M2" s="6">
        <v>0.35714285714285715</v>
      </c>
      <c r="N2" s="6">
        <v>0.42857142857142855</v>
      </c>
      <c r="O2" s="6">
        <v>0.75</v>
      </c>
      <c r="P2" s="6">
        <v>0.625</v>
      </c>
      <c r="Q2" s="6">
        <v>0</v>
      </c>
      <c r="R2" t="s">
        <v>32</v>
      </c>
      <c r="S2" t="s">
        <v>84</v>
      </c>
      <c r="T2" t="s">
        <v>165</v>
      </c>
      <c r="U2" t="s">
        <v>124</v>
      </c>
      <c r="V2" t="s">
        <v>214</v>
      </c>
      <c r="W2" t="s">
        <v>121</v>
      </c>
      <c r="X2" t="s">
        <v>215</v>
      </c>
      <c r="Y2" t="s">
        <v>216</v>
      </c>
      <c r="Z2" t="s">
        <v>140</v>
      </c>
      <c r="AA2" t="s">
        <v>109</v>
      </c>
      <c r="AB2" t="s">
        <v>77</v>
      </c>
      <c r="AC2" t="s">
        <v>109</v>
      </c>
      <c r="AD2" t="s">
        <v>110</v>
      </c>
      <c r="AE2" t="s">
        <v>55</v>
      </c>
      <c r="AF2" t="s">
        <v>102</v>
      </c>
      <c r="AG2" t="s">
        <v>60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83</v>
      </c>
      <c r="S3" t="s">
        <v>32</v>
      </c>
      <c r="T3" t="s">
        <v>107</v>
      </c>
      <c r="U3" t="s">
        <v>64</v>
      </c>
      <c r="V3" t="s">
        <v>107</v>
      </c>
      <c r="W3" t="s">
        <v>63</v>
      </c>
      <c r="X3" t="s">
        <v>72</v>
      </c>
      <c r="Y3" t="s">
        <v>50</v>
      </c>
      <c r="Z3" t="s">
        <v>55</v>
      </c>
      <c r="AA3" t="s">
        <v>50</v>
      </c>
      <c r="AB3" t="s">
        <v>59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0.53333333333333333</v>
      </c>
      <c r="C4" s="6">
        <v>0.2857142857142857</v>
      </c>
      <c r="D4" s="6" t="s">
        <v>32</v>
      </c>
      <c r="E4" s="6">
        <v>0.58823529411764708</v>
      </c>
      <c r="F4" s="6">
        <v>0.6875</v>
      </c>
      <c r="G4" s="6">
        <v>0.5714285714285714</v>
      </c>
      <c r="H4" s="6">
        <v>0.5625</v>
      </c>
      <c r="I4" s="6">
        <v>0.6</v>
      </c>
      <c r="J4" s="6">
        <v>0.61538461538461542</v>
      </c>
      <c r="K4" s="6">
        <v>0.5</v>
      </c>
      <c r="L4" s="6">
        <v>0.55555555555555558</v>
      </c>
      <c r="M4" s="6">
        <v>0.5</v>
      </c>
      <c r="N4" s="6">
        <v>0.5</v>
      </c>
      <c r="O4" s="6">
        <v>0.66666666666666663</v>
      </c>
      <c r="P4" s="6">
        <v>0.7</v>
      </c>
      <c r="Q4" s="6" t="s">
        <v>32</v>
      </c>
      <c r="R4" t="s">
        <v>131</v>
      </c>
      <c r="S4" t="s">
        <v>79</v>
      </c>
      <c r="T4" t="s">
        <v>32</v>
      </c>
      <c r="U4" t="s">
        <v>211</v>
      </c>
      <c r="V4" t="s">
        <v>205</v>
      </c>
      <c r="W4" t="s">
        <v>217</v>
      </c>
      <c r="X4" t="s">
        <v>106</v>
      </c>
      <c r="Y4" t="s">
        <v>218</v>
      </c>
      <c r="Z4" t="s">
        <v>219</v>
      </c>
      <c r="AA4" t="s">
        <v>104</v>
      </c>
      <c r="AB4" t="s">
        <v>166</v>
      </c>
      <c r="AC4" t="s">
        <v>104</v>
      </c>
      <c r="AD4" t="s">
        <v>56</v>
      </c>
      <c r="AE4" t="s">
        <v>50</v>
      </c>
      <c r="AF4" t="s">
        <v>68</v>
      </c>
      <c r="AG4" t="s">
        <v>32</v>
      </c>
    </row>
    <row r="5" spans="1:33" x14ac:dyDescent="0.25">
      <c r="A5" t="s">
        <v>22</v>
      </c>
      <c r="B5" s="6">
        <v>0.55555555555555558</v>
      </c>
      <c r="C5" s="6">
        <v>1</v>
      </c>
      <c r="D5" s="6">
        <v>0.41176470588235292</v>
      </c>
      <c r="E5" s="6" t="s">
        <v>32</v>
      </c>
      <c r="F5" s="6">
        <v>0.73333333333333328</v>
      </c>
      <c r="G5" s="6">
        <v>0.5714285714285714</v>
      </c>
      <c r="H5" s="6">
        <v>0.58823529411764708</v>
      </c>
      <c r="I5" s="6">
        <v>0.4375</v>
      </c>
      <c r="J5" s="6">
        <v>0.5</v>
      </c>
      <c r="K5" s="6">
        <v>0.58333333333333337</v>
      </c>
      <c r="L5" s="6">
        <v>0.6</v>
      </c>
      <c r="M5" s="6">
        <v>0.5714285714285714</v>
      </c>
      <c r="N5" s="6">
        <v>0.22222222222222221</v>
      </c>
      <c r="O5" s="6">
        <v>0.2</v>
      </c>
      <c r="P5" s="6">
        <v>0.72727272727272729</v>
      </c>
      <c r="Q5" s="6">
        <v>0</v>
      </c>
      <c r="R5" t="s">
        <v>121</v>
      </c>
      <c r="S5" t="s">
        <v>86</v>
      </c>
      <c r="T5" t="s">
        <v>220</v>
      </c>
      <c r="U5" t="s">
        <v>32</v>
      </c>
      <c r="V5" t="s">
        <v>167</v>
      </c>
      <c r="W5" t="s">
        <v>69</v>
      </c>
      <c r="X5" t="s">
        <v>211</v>
      </c>
      <c r="Y5" t="s">
        <v>116</v>
      </c>
      <c r="Z5" t="s">
        <v>168</v>
      </c>
      <c r="AA5" t="s">
        <v>53</v>
      </c>
      <c r="AB5" t="s">
        <v>218</v>
      </c>
      <c r="AC5" t="s">
        <v>73</v>
      </c>
      <c r="AD5" t="s">
        <v>119</v>
      </c>
      <c r="AE5" t="s">
        <v>62</v>
      </c>
      <c r="AF5" t="s">
        <v>105</v>
      </c>
      <c r="AG5" t="s">
        <v>64</v>
      </c>
    </row>
    <row r="6" spans="1:33" x14ac:dyDescent="0.25">
      <c r="A6" t="s">
        <v>4</v>
      </c>
      <c r="B6" s="6">
        <v>0.47826086956521741</v>
      </c>
      <c r="C6" s="6">
        <v>0.2857142857142857</v>
      </c>
      <c r="D6" s="6">
        <v>0.3125</v>
      </c>
      <c r="E6" s="6">
        <v>0.26666666666666666</v>
      </c>
      <c r="F6" s="6" t="s">
        <v>32</v>
      </c>
      <c r="G6" s="6">
        <v>0.5</v>
      </c>
      <c r="H6" s="6">
        <v>0.44444444444444442</v>
      </c>
      <c r="I6" s="6">
        <v>0.33333333333333331</v>
      </c>
      <c r="J6" s="6">
        <v>0.40625</v>
      </c>
      <c r="K6" s="6">
        <v>0.4</v>
      </c>
      <c r="L6" s="6">
        <v>0.52941176470588236</v>
      </c>
      <c r="M6" s="6">
        <v>0.3</v>
      </c>
      <c r="N6" s="6">
        <v>0.18181818181818182</v>
      </c>
      <c r="O6" s="6">
        <v>0.2</v>
      </c>
      <c r="P6" s="6">
        <v>0.66666666666666663</v>
      </c>
      <c r="Q6" s="6">
        <v>0</v>
      </c>
      <c r="R6" t="s">
        <v>221</v>
      </c>
      <c r="S6" t="s">
        <v>79</v>
      </c>
      <c r="T6" t="s">
        <v>222</v>
      </c>
      <c r="U6" t="s">
        <v>172</v>
      </c>
      <c r="V6" t="s">
        <v>32</v>
      </c>
      <c r="W6" t="s">
        <v>168</v>
      </c>
      <c r="X6" t="s">
        <v>124</v>
      </c>
      <c r="Y6" t="s">
        <v>123</v>
      </c>
      <c r="Z6" t="s">
        <v>223</v>
      </c>
      <c r="AA6" t="s">
        <v>140</v>
      </c>
      <c r="AB6" t="s">
        <v>130</v>
      </c>
      <c r="AC6" t="s">
        <v>95</v>
      </c>
      <c r="AD6" t="s">
        <v>112</v>
      </c>
      <c r="AE6" t="s">
        <v>62</v>
      </c>
      <c r="AF6" t="s">
        <v>127</v>
      </c>
      <c r="AG6" t="s">
        <v>84</v>
      </c>
    </row>
    <row r="7" spans="1:33" x14ac:dyDescent="0.25">
      <c r="A7" t="s">
        <v>6</v>
      </c>
      <c r="B7" s="6">
        <v>0.44444444444444442</v>
      </c>
      <c r="C7" s="6">
        <v>0.5</v>
      </c>
      <c r="D7" s="6">
        <v>0.42857142857142855</v>
      </c>
      <c r="E7" s="6">
        <v>0.42857142857142855</v>
      </c>
      <c r="F7" s="6">
        <v>0.5</v>
      </c>
      <c r="G7" s="6" t="s">
        <v>32</v>
      </c>
      <c r="H7" s="6">
        <v>0.4</v>
      </c>
      <c r="I7" s="6">
        <v>0.2857142857142857</v>
      </c>
      <c r="J7" s="6">
        <v>0.42857142857142855</v>
      </c>
      <c r="K7" s="6">
        <v>0.375</v>
      </c>
      <c r="L7" s="6">
        <v>0.5</v>
      </c>
      <c r="M7" s="6">
        <v>0.3</v>
      </c>
      <c r="N7" s="6">
        <v>0.3</v>
      </c>
      <c r="O7" s="6">
        <v>0.5</v>
      </c>
      <c r="P7" s="6">
        <v>0.66666666666666663</v>
      </c>
      <c r="Q7" s="6">
        <v>0</v>
      </c>
      <c r="R7" t="s">
        <v>124</v>
      </c>
      <c r="S7" t="s">
        <v>63</v>
      </c>
      <c r="T7" t="s">
        <v>216</v>
      </c>
      <c r="U7" t="s">
        <v>110</v>
      </c>
      <c r="V7" t="s">
        <v>168</v>
      </c>
      <c r="W7" t="s">
        <v>32</v>
      </c>
      <c r="X7" t="s">
        <v>140</v>
      </c>
      <c r="Y7" t="s">
        <v>125</v>
      </c>
      <c r="Z7" t="s">
        <v>216</v>
      </c>
      <c r="AA7" t="s">
        <v>81</v>
      </c>
      <c r="AB7" t="s">
        <v>97</v>
      </c>
      <c r="AC7" t="s">
        <v>95</v>
      </c>
      <c r="AD7" t="s">
        <v>95</v>
      </c>
      <c r="AE7" t="s">
        <v>57</v>
      </c>
      <c r="AF7" t="s">
        <v>224</v>
      </c>
      <c r="AG7" t="s">
        <v>84</v>
      </c>
    </row>
    <row r="8" spans="1:33" x14ac:dyDescent="0.25">
      <c r="A8" t="s">
        <v>5</v>
      </c>
      <c r="B8" s="6">
        <v>0.57692307692307687</v>
      </c>
      <c r="C8" s="6">
        <v>0.4</v>
      </c>
      <c r="D8" s="6">
        <v>0.4375</v>
      </c>
      <c r="E8" s="6">
        <v>0.41176470588235292</v>
      </c>
      <c r="F8" s="6">
        <v>0.55555555555555558</v>
      </c>
      <c r="G8" s="6">
        <v>0.6</v>
      </c>
      <c r="H8" s="6" t="s">
        <v>32</v>
      </c>
      <c r="I8" s="6">
        <v>0.47058823529411764</v>
      </c>
      <c r="J8" s="6">
        <v>0.48275862068965519</v>
      </c>
      <c r="K8" s="6">
        <v>0.41666666666666669</v>
      </c>
      <c r="L8" s="6">
        <v>0.55555555555555558</v>
      </c>
      <c r="M8" s="6">
        <v>0.27272727272727271</v>
      </c>
      <c r="N8" s="6">
        <v>0.38461538461538464</v>
      </c>
      <c r="O8" s="6">
        <v>0.4</v>
      </c>
      <c r="P8" s="6">
        <v>0.68421052631578949</v>
      </c>
      <c r="Q8" s="6">
        <v>0</v>
      </c>
      <c r="R8" t="s">
        <v>225</v>
      </c>
      <c r="S8" t="s">
        <v>71</v>
      </c>
      <c r="T8" t="s">
        <v>116</v>
      </c>
      <c r="U8" t="s">
        <v>220</v>
      </c>
      <c r="V8" t="s">
        <v>121</v>
      </c>
      <c r="W8" t="s">
        <v>143</v>
      </c>
      <c r="X8" t="s">
        <v>32</v>
      </c>
      <c r="Y8" t="s">
        <v>141</v>
      </c>
      <c r="Z8" t="s">
        <v>226</v>
      </c>
      <c r="AA8" t="s">
        <v>80</v>
      </c>
      <c r="AB8" t="s">
        <v>121</v>
      </c>
      <c r="AC8" t="s">
        <v>75</v>
      </c>
      <c r="AD8" t="s">
        <v>113</v>
      </c>
      <c r="AE8" t="s">
        <v>71</v>
      </c>
      <c r="AF8" t="s">
        <v>227</v>
      </c>
      <c r="AG8" t="s">
        <v>84</v>
      </c>
    </row>
    <row r="9" spans="1:33" x14ac:dyDescent="0.25">
      <c r="A9" t="s">
        <v>8</v>
      </c>
      <c r="B9" s="6">
        <v>0.5714285714285714</v>
      </c>
      <c r="C9" s="6">
        <v>0.33333333333333331</v>
      </c>
      <c r="D9" s="6">
        <v>0.4</v>
      </c>
      <c r="E9" s="6">
        <v>0.5625</v>
      </c>
      <c r="F9" s="6">
        <v>0.66666666666666663</v>
      </c>
      <c r="G9" s="6">
        <v>0.7142857142857143</v>
      </c>
      <c r="H9" s="6">
        <v>0.52941176470588236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0.25</v>
      </c>
      <c r="N9" s="6">
        <v>0.66666666666666663</v>
      </c>
      <c r="O9" s="6">
        <v>0</v>
      </c>
      <c r="P9" s="6">
        <v>0.7142857142857143</v>
      </c>
      <c r="Q9" s="6" t="s">
        <v>32</v>
      </c>
      <c r="R9" t="s">
        <v>217</v>
      </c>
      <c r="S9" t="s">
        <v>61</v>
      </c>
      <c r="T9" t="s">
        <v>74</v>
      </c>
      <c r="U9" t="s">
        <v>106</v>
      </c>
      <c r="V9" t="s">
        <v>127</v>
      </c>
      <c r="W9" t="s">
        <v>128</v>
      </c>
      <c r="X9" t="s">
        <v>130</v>
      </c>
      <c r="Y9" t="s">
        <v>32</v>
      </c>
      <c r="Z9" t="s">
        <v>80</v>
      </c>
      <c r="AA9" t="s">
        <v>62</v>
      </c>
      <c r="AB9" t="s">
        <v>63</v>
      </c>
      <c r="AC9" t="s">
        <v>228</v>
      </c>
      <c r="AD9" t="s">
        <v>50</v>
      </c>
      <c r="AE9" t="s">
        <v>58</v>
      </c>
      <c r="AF9" t="s">
        <v>128</v>
      </c>
      <c r="AG9" t="s">
        <v>32</v>
      </c>
    </row>
    <row r="10" spans="1:33" x14ac:dyDescent="0.25">
      <c r="A10" t="s">
        <v>12</v>
      </c>
      <c r="B10" s="6">
        <v>0.6</v>
      </c>
      <c r="C10" s="6">
        <v>0.25</v>
      </c>
      <c r="D10" s="6">
        <v>0.38461538461538464</v>
      </c>
      <c r="E10" s="6">
        <v>0.5</v>
      </c>
      <c r="F10" s="6">
        <v>0.59375</v>
      </c>
      <c r="G10" s="6">
        <v>0.5714285714285714</v>
      </c>
      <c r="H10" s="6">
        <v>0.51724137931034486</v>
      </c>
      <c r="I10" s="6">
        <v>0.58333333333333337</v>
      </c>
      <c r="J10" s="6" t="s">
        <v>32</v>
      </c>
      <c r="K10" s="6">
        <v>0.47058823529411764</v>
      </c>
      <c r="L10" s="6">
        <v>0.5</v>
      </c>
      <c r="M10" s="6">
        <v>0.23076923076923078</v>
      </c>
      <c r="N10" s="6">
        <v>0.5</v>
      </c>
      <c r="O10" s="6">
        <v>0.6</v>
      </c>
      <c r="P10" s="6">
        <v>0.75</v>
      </c>
      <c r="Q10" s="6" t="s">
        <v>32</v>
      </c>
      <c r="R10" t="s">
        <v>143</v>
      </c>
      <c r="S10" t="s">
        <v>67</v>
      </c>
      <c r="T10" t="s">
        <v>229</v>
      </c>
      <c r="U10" t="s">
        <v>168</v>
      </c>
      <c r="V10" t="s">
        <v>230</v>
      </c>
      <c r="W10" t="s">
        <v>217</v>
      </c>
      <c r="X10" t="s">
        <v>231</v>
      </c>
      <c r="Y10" t="s">
        <v>53</v>
      </c>
      <c r="Z10" t="s">
        <v>32</v>
      </c>
      <c r="AA10" t="s">
        <v>141</v>
      </c>
      <c r="AB10" t="s">
        <v>52</v>
      </c>
      <c r="AC10" t="s">
        <v>144</v>
      </c>
      <c r="AD10" t="s">
        <v>104</v>
      </c>
      <c r="AE10" t="s">
        <v>72</v>
      </c>
      <c r="AF10" t="s">
        <v>232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0.41666666666666669</v>
      </c>
      <c r="F11" s="6">
        <v>0.6</v>
      </c>
      <c r="G11" s="6">
        <v>0.625</v>
      </c>
      <c r="H11" s="6">
        <v>0.58333333333333337</v>
      </c>
      <c r="I11" s="6">
        <v>0.8</v>
      </c>
      <c r="J11" s="6">
        <v>0.52941176470588236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0.66666666666666663</v>
      </c>
      <c r="Q11" s="6" t="s">
        <v>32</v>
      </c>
      <c r="R11" t="s">
        <v>115</v>
      </c>
      <c r="S11" t="s">
        <v>61</v>
      </c>
      <c r="T11" t="s">
        <v>104</v>
      </c>
      <c r="U11" t="s">
        <v>80</v>
      </c>
      <c r="V11" t="s">
        <v>143</v>
      </c>
      <c r="W11" t="s">
        <v>102</v>
      </c>
      <c r="X11" t="s">
        <v>53</v>
      </c>
      <c r="Y11" t="s">
        <v>99</v>
      </c>
      <c r="Z11" t="s">
        <v>130</v>
      </c>
      <c r="AA11" t="s">
        <v>32</v>
      </c>
      <c r="AB11" t="s">
        <v>73</v>
      </c>
      <c r="AC11" t="s">
        <v>56</v>
      </c>
      <c r="AD11" t="s">
        <v>57</v>
      </c>
      <c r="AE11" t="s">
        <v>32</v>
      </c>
      <c r="AF11" t="s">
        <v>224</v>
      </c>
      <c r="AG11" t="s">
        <v>32</v>
      </c>
    </row>
    <row r="12" spans="1:33" x14ac:dyDescent="0.25">
      <c r="A12" t="s">
        <v>11</v>
      </c>
      <c r="B12" s="6">
        <v>0.55555555555555558</v>
      </c>
      <c r="C12" s="6">
        <v>0</v>
      </c>
      <c r="D12" s="6">
        <v>0.44444444444444442</v>
      </c>
      <c r="E12" s="6">
        <v>0.4</v>
      </c>
      <c r="F12" s="6">
        <v>0.47058823529411764</v>
      </c>
      <c r="G12" s="6">
        <v>0.5</v>
      </c>
      <c r="H12" s="6">
        <v>0.44444444444444442</v>
      </c>
      <c r="I12" s="6">
        <v>0.5</v>
      </c>
      <c r="J12" s="6">
        <v>0.5</v>
      </c>
      <c r="K12" s="6">
        <v>0.42857142857142855</v>
      </c>
      <c r="L12" s="6" t="s">
        <v>32</v>
      </c>
      <c r="M12" s="6">
        <v>0.2857142857142857</v>
      </c>
      <c r="N12" s="6">
        <v>1</v>
      </c>
      <c r="O12" s="6">
        <v>1</v>
      </c>
      <c r="P12" s="6">
        <v>0.55555555555555558</v>
      </c>
      <c r="Q12" s="6" t="s">
        <v>32</v>
      </c>
      <c r="R12" t="s">
        <v>166</v>
      </c>
      <c r="S12" t="s">
        <v>58</v>
      </c>
      <c r="T12" t="s">
        <v>77</v>
      </c>
      <c r="U12" t="s">
        <v>74</v>
      </c>
      <c r="V12" t="s">
        <v>141</v>
      </c>
      <c r="W12" t="s">
        <v>97</v>
      </c>
      <c r="X12" t="s">
        <v>124</v>
      </c>
      <c r="Y12" t="s">
        <v>63</v>
      </c>
      <c r="Z12" t="s">
        <v>52</v>
      </c>
      <c r="AA12" t="s">
        <v>70</v>
      </c>
      <c r="AB12" t="s">
        <v>32</v>
      </c>
      <c r="AC12" t="s">
        <v>79</v>
      </c>
      <c r="AD12" t="s">
        <v>59</v>
      </c>
      <c r="AE12" t="s">
        <v>59</v>
      </c>
      <c r="AF12" t="s">
        <v>166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0.42857142857142855</v>
      </c>
      <c r="F13" s="6">
        <v>0.7</v>
      </c>
      <c r="G13" s="6">
        <v>0.7</v>
      </c>
      <c r="H13" s="6">
        <v>0.72727272727272729</v>
      </c>
      <c r="I13" s="6">
        <v>0.75</v>
      </c>
      <c r="J13" s="6">
        <v>0.76923076923076927</v>
      </c>
      <c r="K13" s="6">
        <v>0.5</v>
      </c>
      <c r="L13" s="6">
        <v>0.7142857142857143</v>
      </c>
      <c r="M13" s="6" t="s">
        <v>32</v>
      </c>
      <c r="N13" s="6">
        <v>0.25</v>
      </c>
      <c r="O13" s="6">
        <v>0.5</v>
      </c>
      <c r="P13" s="6">
        <v>0.92307692307692313</v>
      </c>
      <c r="Q13" s="6" t="s">
        <v>32</v>
      </c>
      <c r="R13" t="s">
        <v>115</v>
      </c>
      <c r="S13" t="s">
        <v>32</v>
      </c>
      <c r="T13" t="s">
        <v>104</v>
      </c>
      <c r="U13" t="s">
        <v>70</v>
      </c>
      <c r="V13" t="s">
        <v>68</v>
      </c>
      <c r="W13" t="s">
        <v>68</v>
      </c>
      <c r="X13" t="s">
        <v>105</v>
      </c>
      <c r="Y13" t="s">
        <v>213</v>
      </c>
      <c r="Z13" t="s">
        <v>142</v>
      </c>
      <c r="AA13" t="s">
        <v>56</v>
      </c>
      <c r="AB13" t="s">
        <v>107</v>
      </c>
      <c r="AC13" t="s">
        <v>32</v>
      </c>
      <c r="AD13" t="s">
        <v>67</v>
      </c>
      <c r="AE13" t="s">
        <v>57</v>
      </c>
      <c r="AF13" t="s">
        <v>233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69</v>
      </c>
      <c r="S14" t="s">
        <v>32</v>
      </c>
      <c r="T14" t="s">
        <v>56</v>
      </c>
      <c r="U14" t="s">
        <v>54</v>
      </c>
      <c r="V14" t="s">
        <v>85</v>
      </c>
      <c r="W14" t="s">
        <v>68</v>
      </c>
      <c r="X14" t="s">
        <v>108</v>
      </c>
      <c r="Y14" t="s">
        <v>61</v>
      </c>
      <c r="Z14" t="s">
        <v>104</v>
      </c>
      <c r="AA14" t="s">
        <v>57</v>
      </c>
      <c r="AB14" t="s">
        <v>58</v>
      </c>
      <c r="AC14" t="s">
        <v>55</v>
      </c>
      <c r="AD14" t="s">
        <v>32</v>
      </c>
      <c r="AE14" t="s">
        <v>32</v>
      </c>
      <c r="AF14" t="s">
        <v>129</v>
      </c>
      <c r="AG14" t="s">
        <v>58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67</v>
      </c>
      <c r="S15" t="s">
        <v>32</v>
      </c>
      <c r="T15" t="s">
        <v>61</v>
      </c>
      <c r="U15" t="s">
        <v>99</v>
      </c>
      <c r="V15" t="s">
        <v>99</v>
      </c>
      <c r="W15" t="s">
        <v>57</v>
      </c>
      <c r="X15" t="s">
        <v>72</v>
      </c>
      <c r="Y15" t="s">
        <v>59</v>
      </c>
      <c r="Z15" t="s">
        <v>71</v>
      </c>
      <c r="AA15" t="s">
        <v>32</v>
      </c>
      <c r="AB15" t="s">
        <v>58</v>
      </c>
      <c r="AC15" t="s">
        <v>57</v>
      </c>
      <c r="AD15" t="s">
        <v>32</v>
      </c>
      <c r="AE15" t="s">
        <v>32</v>
      </c>
      <c r="AF15" t="s">
        <v>59</v>
      </c>
      <c r="AG15" t="s">
        <v>32</v>
      </c>
    </row>
    <row r="16" spans="1:33" x14ac:dyDescent="0.25">
      <c r="A16" t="s">
        <v>7</v>
      </c>
      <c r="B16" s="6">
        <v>0.375</v>
      </c>
      <c r="C16" s="6">
        <v>0.33333333333333331</v>
      </c>
      <c r="D16" s="6">
        <v>0.3</v>
      </c>
      <c r="E16" s="6">
        <v>0.27272727272727271</v>
      </c>
      <c r="F16" s="6">
        <v>0.33333333333333331</v>
      </c>
      <c r="G16" s="6">
        <v>0.33333333333333331</v>
      </c>
      <c r="H16" s="6">
        <v>0.31578947368421051</v>
      </c>
      <c r="I16" s="6">
        <v>0.2857142857142857</v>
      </c>
      <c r="J16" s="6">
        <v>0.25</v>
      </c>
      <c r="K16" s="6">
        <v>0.33333333333333331</v>
      </c>
      <c r="L16" s="6">
        <v>0.44444444444444442</v>
      </c>
      <c r="M16" s="6">
        <v>7.6923076923076927E-2</v>
      </c>
      <c r="N16" s="6">
        <v>0</v>
      </c>
      <c r="O16" s="6">
        <v>0</v>
      </c>
      <c r="P16" s="6" t="s">
        <v>32</v>
      </c>
      <c r="Q16" s="6">
        <v>0</v>
      </c>
      <c r="R16" t="s">
        <v>81</v>
      </c>
      <c r="S16" t="s">
        <v>61</v>
      </c>
      <c r="T16" t="s">
        <v>95</v>
      </c>
      <c r="U16" t="s">
        <v>75</v>
      </c>
      <c r="V16" t="s">
        <v>123</v>
      </c>
      <c r="W16" t="s">
        <v>96</v>
      </c>
      <c r="X16" t="s">
        <v>234</v>
      </c>
      <c r="Y16" t="s">
        <v>125</v>
      </c>
      <c r="Z16" t="s">
        <v>235</v>
      </c>
      <c r="AA16" t="s">
        <v>96</v>
      </c>
      <c r="AB16" t="s">
        <v>77</v>
      </c>
      <c r="AC16" t="s">
        <v>236</v>
      </c>
      <c r="AD16" t="s">
        <v>82</v>
      </c>
      <c r="AE16" t="s">
        <v>58</v>
      </c>
      <c r="AF16" t="s">
        <v>32</v>
      </c>
      <c r="AG16" t="s">
        <v>64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101</v>
      </c>
      <c r="S17" t="s">
        <v>32</v>
      </c>
      <c r="T17" t="s">
        <v>32</v>
      </c>
      <c r="U17" t="s">
        <v>86</v>
      </c>
      <c r="V17" t="s">
        <v>83</v>
      </c>
      <c r="W17" t="s">
        <v>83</v>
      </c>
      <c r="X17" t="s">
        <v>83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59</v>
      </c>
      <c r="AE17" t="s">
        <v>32</v>
      </c>
      <c r="AF17" t="s">
        <v>86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90</v>
      </c>
      <c r="C1" s="1" t="s">
        <v>93</v>
      </c>
      <c r="F1" t="s">
        <v>163</v>
      </c>
    </row>
    <row r="2" spans="1:8" x14ac:dyDescent="0.25">
      <c r="A2" t="s">
        <v>14</v>
      </c>
      <c r="B2" s="13">
        <v>8</v>
      </c>
      <c r="C2" s="6">
        <v>0.18604651162790697</v>
      </c>
    </row>
    <row r="3" spans="1:8" x14ac:dyDescent="0.25">
      <c r="A3" t="s">
        <v>17</v>
      </c>
      <c r="B3" s="9">
        <v>8</v>
      </c>
      <c r="C3" s="7">
        <v>0.18604651162790697</v>
      </c>
    </row>
    <row r="4" spans="1:8" x14ac:dyDescent="0.25">
      <c r="A4" t="s">
        <v>21</v>
      </c>
      <c r="B4" s="9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9">
        <v>3</v>
      </c>
      <c r="C5" s="7">
        <v>6.9767441860465115E-2</v>
      </c>
    </row>
    <row r="6" spans="1:8" x14ac:dyDescent="0.25">
      <c r="A6" t="s">
        <v>13</v>
      </c>
      <c r="B6" s="9">
        <v>4</v>
      </c>
      <c r="C6" s="7">
        <v>9.3023255813953487E-2</v>
      </c>
    </row>
    <row r="7" spans="1:8" x14ac:dyDescent="0.25">
      <c r="A7" t="s">
        <v>19</v>
      </c>
      <c r="B7" s="9">
        <v>5</v>
      </c>
      <c r="C7" s="7">
        <v>0.11627906976744186</v>
      </c>
    </row>
    <row r="8" spans="1:8" x14ac:dyDescent="0.25">
      <c r="A8" t="s">
        <v>20</v>
      </c>
      <c r="B8" s="9">
        <v>5</v>
      </c>
      <c r="C8" s="7">
        <v>0.11627906976744186</v>
      </c>
    </row>
    <row r="9" spans="1:8" x14ac:dyDescent="0.25">
      <c r="A9" t="s">
        <v>2</v>
      </c>
      <c r="B9" s="9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D2" sqref="D2:D17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163</v>
      </c>
    </row>
    <row r="2" spans="1:6" x14ac:dyDescent="0.25">
      <c r="A2" s="1" t="s">
        <v>3</v>
      </c>
      <c r="B2" s="7">
        <v>0.59459459459459463</v>
      </c>
      <c r="C2" s="1">
        <v>22</v>
      </c>
      <c r="D2" s="9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9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9">
        <v>31</v>
      </c>
    </row>
    <row r="5" spans="1:6" x14ac:dyDescent="0.25">
      <c r="A5" s="1" t="s">
        <v>22</v>
      </c>
      <c r="B5" s="7">
        <v>0.5</v>
      </c>
      <c r="C5" s="1">
        <v>16</v>
      </c>
      <c r="D5" s="9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9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9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9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9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9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9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9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9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9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9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9">
        <v>26</v>
      </c>
    </row>
    <row r="17" spans="1:4" x14ac:dyDescent="0.25">
      <c r="A17" s="1" t="s">
        <v>10</v>
      </c>
      <c r="B17" s="7">
        <v>0</v>
      </c>
      <c r="C17" s="1">
        <v>0</v>
      </c>
      <c r="D17" s="9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93"/>
  <sheetViews>
    <sheetView topLeftCell="A159" workbookViewId="0">
      <selection activeCell="A178" sqref="A178:A193"/>
    </sheetView>
  </sheetViews>
  <sheetFormatPr defaultRowHeight="15" x14ac:dyDescent="0.25"/>
  <cols>
    <col min="1" max="1" width="9.140625" style="13"/>
    <col min="2" max="2" width="10" style="15" customWidth="1"/>
    <col min="3" max="3" width="9.140625" style="6"/>
    <col min="4" max="4" width="11.140625" style="15" customWidth="1"/>
    <col min="5" max="5" width="10.42578125" style="6" customWidth="1"/>
    <col min="6" max="6" width="12.42578125" style="13" customWidth="1"/>
    <col min="7" max="7" width="13.140625" style="13" customWidth="1"/>
  </cols>
  <sheetData>
    <row r="1" spans="1:7" s="12" customFormat="1" ht="30" x14ac:dyDescent="0.25">
      <c r="A1" s="13"/>
      <c r="B1" s="16" t="s">
        <v>149</v>
      </c>
      <c r="C1" s="17" t="s">
        <v>159</v>
      </c>
      <c r="D1" s="18" t="s">
        <v>150</v>
      </c>
      <c r="E1" s="17" t="s">
        <v>153</v>
      </c>
      <c r="F1" s="17" t="s">
        <v>151</v>
      </c>
      <c r="G1" s="17" t="s">
        <v>152</v>
      </c>
    </row>
    <row r="2" spans="1:7" s="6" customFormat="1" x14ac:dyDescent="0.25">
      <c r="A2" s="13" t="s">
        <v>3</v>
      </c>
      <c r="B2" s="15">
        <v>44916</v>
      </c>
      <c r="C2" s="6">
        <v>0.55813953488372092</v>
      </c>
      <c r="D2" s="15">
        <v>44837</v>
      </c>
      <c r="F2" s="13">
        <v>0</v>
      </c>
      <c r="G2" s="13">
        <v>0</v>
      </c>
    </row>
    <row r="3" spans="1:7" s="6" customFormat="1" x14ac:dyDescent="0.25">
      <c r="A3" s="13" t="s">
        <v>18</v>
      </c>
      <c r="B3" s="15">
        <v>44916</v>
      </c>
      <c r="C3" s="6">
        <v>0.33333333333333331</v>
      </c>
      <c r="D3" s="15">
        <v>44837</v>
      </c>
      <c r="F3" s="13">
        <v>0</v>
      </c>
      <c r="G3" s="13">
        <v>0</v>
      </c>
    </row>
    <row r="4" spans="1:7" s="6" customFormat="1" x14ac:dyDescent="0.25">
      <c r="A4" s="13" t="s">
        <v>16</v>
      </c>
      <c r="B4" s="15">
        <v>44916</v>
      </c>
      <c r="C4" s="6">
        <v>0.43243243243243246</v>
      </c>
      <c r="D4" s="15">
        <v>44837</v>
      </c>
      <c r="F4" s="13">
        <v>0</v>
      </c>
      <c r="G4" s="13">
        <v>0</v>
      </c>
    </row>
    <row r="5" spans="1:7" s="6" customFormat="1" x14ac:dyDescent="0.25">
      <c r="A5" s="13" t="s">
        <v>22</v>
      </c>
      <c r="B5" s="15">
        <v>44916</v>
      </c>
      <c r="C5" s="6">
        <v>0.48648648648648651</v>
      </c>
      <c r="D5" s="15">
        <v>44837</v>
      </c>
      <c r="F5" s="13">
        <v>0</v>
      </c>
      <c r="G5" s="13">
        <v>0</v>
      </c>
    </row>
    <row r="6" spans="1:7" s="6" customFormat="1" x14ac:dyDescent="0.25">
      <c r="A6" s="13" t="s">
        <v>4</v>
      </c>
      <c r="B6" s="15">
        <v>44916</v>
      </c>
      <c r="C6" s="6">
        <v>0.5957446808510638</v>
      </c>
      <c r="D6" s="15">
        <v>44837</v>
      </c>
      <c r="F6" s="13">
        <v>0</v>
      </c>
      <c r="G6" s="13">
        <v>0</v>
      </c>
    </row>
    <row r="7" spans="1:7" s="6" customFormat="1" x14ac:dyDescent="0.25">
      <c r="A7" s="13" t="s">
        <v>6</v>
      </c>
      <c r="B7" s="15">
        <v>44916</v>
      </c>
      <c r="C7" s="6">
        <v>0.57499999999999996</v>
      </c>
      <c r="D7" s="15">
        <v>44837</v>
      </c>
      <c r="F7" s="13">
        <v>0</v>
      </c>
      <c r="G7" s="13">
        <v>0</v>
      </c>
    </row>
    <row r="8" spans="1:7" s="6" customFormat="1" x14ac:dyDescent="0.25">
      <c r="A8" s="13" t="s">
        <v>5</v>
      </c>
      <c r="B8" s="15">
        <v>44916</v>
      </c>
      <c r="C8" s="6">
        <v>0.51063829787234039</v>
      </c>
      <c r="D8" s="15">
        <v>44837</v>
      </c>
      <c r="F8" s="13">
        <v>0</v>
      </c>
      <c r="G8" s="13">
        <v>0</v>
      </c>
    </row>
    <row r="9" spans="1:7" s="6" customFormat="1" x14ac:dyDescent="0.25">
      <c r="A9" s="13" t="s">
        <v>8</v>
      </c>
      <c r="B9" s="15">
        <v>44916</v>
      </c>
      <c r="C9" s="6">
        <v>0.46666666666666667</v>
      </c>
      <c r="D9" s="15">
        <v>44837</v>
      </c>
      <c r="F9" s="13">
        <v>0</v>
      </c>
      <c r="G9" s="13">
        <v>0</v>
      </c>
    </row>
    <row r="10" spans="1:7" s="6" customFormat="1" x14ac:dyDescent="0.25">
      <c r="A10" s="13" t="s">
        <v>12</v>
      </c>
      <c r="B10" s="15">
        <v>44916</v>
      </c>
      <c r="C10" s="6">
        <v>0.48936170212765956</v>
      </c>
      <c r="D10" s="15">
        <v>44837</v>
      </c>
      <c r="F10" s="13">
        <v>0</v>
      </c>
      <c r="G10" s="13">
        <v>0</v>
      </c>
    </row>
    <row r="11" spans="1:7" s="6" customFormat="1" x14ac:dyDescent="0.25">
      <c r="A11" s="13" t="s">
        <v>23</v>
      </c>
      <c r="B11" s="15">
        <v>44916</v>
      </c>
      <c r="C11" s="6">
        <v>0.42307692307692307</v>
      </c>
      <c r="D11" s="15">
        <v>44837</v>
      </c>
      <c r="F11" s="13">
        <v>0</v>
      </c>
      <c r="G11" s="13">
        <v>0</v>
      </c>
    </row>
    <row r="12" spans="1:7" s="6" customFormat="1" x14ac:dyDescent="0.25">
      <c r="A12" s="13" t="s">
        <v>11</v>
      </c>
      <c r="B12" s="15">
        <v>44916</v>
      </c>
      <c r="C12" s="6">
        <v>0.58333333333333337</v>
      </c>
      <c r="D12" s="15">
        <v>44837</v>
      </c>
      <c r="F12" s="13">
        <v>0</v>
      </c>
      <c r="G12" s="13">
        <v>0</v>
      </c>
    </row>
    <row r="13" spans="1:7" s="6" customFormat="1" x14ac:dyDescent="0.25">
      <c r="A13" s="13" t="s">
        <v>9</v>
      </c>
      <c r="B13" s="15">
        <v>44916</v>
      </c>
      <c r="C13" s="6">
        <v>0.33333333333333331</v>
      </c>
      <c r="D13" s="15">
        <v>44837</v>
      </c>
      <c r="F13" s="13">
        <v>0</v>
      </c>
      <c r="G13" s="13">
        <v>0</v>
      </c>
    </row>
    <row r="14" spans="1:7" s="6" customFormat="1" x14ac:dyDescent="0.25">
      <c r="A14" s="13" t="s">
        <v>24</v>
      </c>
      <c r="B14" s="15">
        <v>44916</v>
      </c>
      <c r="C14" s="6">
        <v>0.36842105263157893</v>
      </c>
      <c r="D14" s="15">
        <v>44837</v>
      </c>
      <c r="F14" s="13">
        <v>0</v>
      </c>
      <c r="G14" s="13">
        <v>0</v>
      </c>
    </row>
    <row r="15" spans="1:7" s="6" customFormat="1" x14ac:dyDescent="0.25">
      <c r="A15" s="13" t="s">
        <v>26</v>
      </c>
      <c r="B15" s="15">
        <v>44916</v>
      </c>
      <c r="C15" s="6">
        <v>0.42857142857142855</v>
      </c>
      <c r="D15" s="15">
        <v>44837</v>
      </c>
      <c r="F15" s="13">
        <v>0</v>
      </c>
      <c r="G15" s="13">
        <v>0</v>
      </c>
    </row>
    <row r="16" spans="1:7" s="6" customFormat="1" x14ac:dyDescent="0.25">
      <c r="A16" s="13" t="s">
        <v>7</v>
      </c>
      <c r="B16" s="15">
        <v>44916</v>
      </c>
      <c r="C16" s="6">
        <v>0.71875</v>
      </c>
      <c r="D16" s="15">
        <v>44837</v>
      </c>
      <c r="F16" s="13">
        <v>0</v>
      </c>
      <c r="G16" s="13">
        <v>0</v>
      </c>
    </row>
    <row r="17" spans="1:7" s="6" customFormat="1" x14ac:dyDescent="0.25">
      <c r="A17" s="13" t="s">
        <v>10</v>
      </c>
      <c r="B17" s="15">
        <v>44916</v>
      </c>
      <c r="C17" s="6">
        <v>0</v>
      </c>
      <c r="D17" s="15">
        <v>44837</v>
      </c>
      <c r="F17" s="13">
        <v>0</v>
      </c>
      <c r="G17" s="13">
        <v>0</v>
      </c>
    </row>
    <row r="18" spans="1:7" x14ac:dyDescent="0.25">
      <c r="A18" s="13" t="s">
        <v>3</v>
      </c>
      <c r="B18" s="15">
        <v>44916</v>
      </c>
      <c r="C18" s="6">
        <v>0.55813953488372092</v>
      </c>
      <c r="D18" s="15">
        <v>44844</v>
      </c>
      <c r="F18" s="13">
        <v>0</v>
      </c>
      <c r="G18" s="13">
        <v>0</v>
      </c>
    </row>
    <row r="19" spans="1:7" x14ac:dyDescent="0.25">
      <c r="A19" s="13" t="s">
        <v>18</v>
      </c>
      <c r="B19" s="15">
        <v>44916</v>
      </c>
      <c r="C19" s="6">
        <v>0.33333333333333331</v>
      </c>
      <c r="D19" s="15">
        <v>44844</v>
      </c>
      <c r="F19" s="13">
        <v>0</v>
      </c>
      <c r="G19" s="13">
        <v>0</v>
      </c>
    </row>
    <row r="20" spans="1:7" x14ac:dyDescent="0.25">
      <c r="A20" s="13" t="s">
        <v>16</v>
      </c>
      <c r="B20" s="15">
        <v>44916</v>
      </c>
      <c r="C20" s="6">
        <v>0.43243243243243246</v>
      </c>
      <c r="D20" s="15">
        <v>44844</v>
      </c>
      <c r="E20" s="6">
        <v>0</v>
      </c>
      <c r="F20" s="13">
        <v>0</v>
      </c>
      <c r="G20" s="13">
        <v>2</v>
      </c>
    </row>
    <row r="21" spans="1:7" x14ac:dyDescent="0.25">
      <c r="A21" s="13" t="s">
        <v>22</v>
      </c>
      <c r="B21" s="15">
        <v>44916</v>
      </c>
      <c r="C21" s="6">
        <v>0.48648648648648651</v>
      </c>
      <c r="D21" s="15">
        <v>44844</v>
      </c>
      <c r="E21" s="6">
        <v>0.5</v>
      </c>
      <c r="F21" s="13">
        <v>1</v>
      </c>
      <c r="G21" s="13">
        <v>2</v>
      </c>
    </row>
    <row r="22" spans="1:7" x14ac:dyDescent="0.25">
      <c r="A22" s="13" t="s">
        <v>4</v>
      </c>
      <c r="B22" s="15">
        <v>44916</v>
      </c>
      <c r="C22" s="6">
        <v>0.5957446808510638</v>
      </c>
      <c r="D22" s="15">
        <v>44844</v>
      </c>
      <c r="E22" s="6">
        <v>0.5</v>
      </c>
      <c r="F22" s="13">
        <v>1</v>
      </c>
      <c r="G22" s="13">
        <v>2</v>
      </c>
    </row>
    <row r="23" spans="1:7" x14ac:dyDescent="0.25">
      <c r="A23" s="13" t="s">
        <v>6</v>
      </c>
      <c r="B23" s="15">
        <v>44916</v>
      </c>
      <c r="C23" s="6">
        <v>0.57499999999999996</v>
      </c>
      <c r="D23" s="15">
        <v>44844</v>
      </c>
      <c r="E23" s="6">
        <v>0</v>
      </c>
      <c r="F23" s="13">
        <v>0</v>
      </c>
      <c r="G23" s="13">
        <v>2</v>
      </c>
    </row>
    <row r="24" spans="1:7" x14ac:dyDescent="0.25">
      <c r="A24" s="13" t="s">
        <v>5</v>
      </c>
      <c r="B24" s="15">
        <v>44916</v>
      </c>
      <c r="C24" s="6">
        <v>0.51063829787234039</v>
      </c>
      <c r="D24" s="15">
        <v>44844</v>
      </c>
      <c r="E24" s="6">
        <v>0.5</v>
      </c>
      <c r="F24" s="13">
        <v>1</v>
      </c>
      <c r="G24" s="13">
        <v>2</v>
      </c>
    </row>
    <row r="25" spans="1:7" x14ac:dyDescent="0.25">
      <c r="A25" s="13" t="s">
        <v>8</v>
      </c>
      <c r="B25" s="15">
        <v>44916</v>
      </c>
      <c r="C25" s="6">
        <v>0.46666666666666667</v>
      </c>
      <c r="D25" s="15">
        <v>44844</v>
      </c>
      <c r="F25" s="13">
        <v>0</v>
      </c>
      <c r="G25" s="13">
        <v>0</v>
      </c>
    </row>
    <row r="26" spans="1:7" x14ac:dyDescent="0.25">
      <c r="A26" s="13" t="s">
        <v>12</v>
      </c>
      <c r="B26" s="15">
        <v>44916</v>
      </c>
      <c r="C26" s="6">
        <v>0.48936170212765956</v>
      </c>
      <c r="D26" s="15">
        <v>44844</v>
      </c>
      <c r="E26" s="6">
        <v>1</v>
      </c>
      <c r="F26" s="13">
        <v>2</v>
      </c>
      <c r="G26" s="13">
        <v>2</v>
      </c>
    </row>
    <row r="27" spans="1:7" x14ac:dyDescent="0.25">
      <c r="A27" s="13" t="s">
        <v>23</v>
      </c>
      <c r="B27" s="15">
        <v>44916</v>
      </c>
      <c r="C27" s="6">
        <v>0.42307692307692307</v>
      </c>
      <c r="D27" s="15">
        <v>44844</v>
      </c>
      <c r="E27" s="6">
        <v>0.5</v>
      </c>
      <c r="F27" s="13">
        <v>1</v>
      </c>
      <c r="G27" s="13">
        <v>2</v>
      </c>
    </row>
    <row r="28" spans="1:7" x14ac:dyDescent="0.25">
      <c r="A28" s="13" t="s">
        <v>11</v>
      </c>
      <c r="B28" s="15">
        <v>44916</v>
      </c>
      <c r="C28" s="6">
        <v>0.58333333333333337</v>
      </c>
      <c r="D28" s="15">
        <v>44844</v>
      </c>
      <c r="E28" s="6">
        <v>0.5</v>
      </c>
      <c r="F28" s="13">
        <v>1</v>
      </c>
      <c r="G28" s="13">
        <v>2</v>
      </c>
    </row>
    <row r="29" spans="1:7" x14ac:dyDescent="0.25">
      <c r="A29" s="13" t="s">
        <v>9</v>
      </c>
      <c r="B29" s="15">
        <v>44916</v>
      </c>
      <c r="C29" s="6">
        <v>0.33333333333333331</v>
      </c>
      <c r="D29" s="15">
        <v>44844</v>
      </c>
      <c r="E29" s="6">
        <v>0.5</v>
      </c>
      <c r="F29" s="13">
        <v>1</v>
      </c>
      <c r="G29" s="13">
        <v>2</v>
      </c>
    </row>
    <row r="30" spans="1:7" x14ac:dyDescent="0.25">
      <c r="A30" s="13" t="s">
        <v>24</v>
      </c>
      <c r="B30" s="15">
        <v>44916</v>
      </c>
      <c r="C30" s="6">
        <v>0.36842105263157893</v>
      </c>
      <c r="D30" s="15">
        <v>44844</v>
      </c>
      <c r="F30" s="13">
        <v>0</v>
      </c>
      <c r="G30" s="13">
        <v>0</v>
      </c>
    </row>
    <row r="31" spans="1:7" x14ac:dyDescent="0.25">
      <c r="A31" s="13" t="s">
        <v>26</v>
      </c>
      <c r="B31" s="15">
        <v>44916</v>
      </c>
      <c r="C31" s="6">
        <v>0.42857142857142855</v>
      </c>
      <c r="D31" s="15">
        <v>44844</v>
      </c>
      <c r="F31" s="13">
        <v>0</v>
      </c>
      <c r="G31" s="13">
        <v>0</v>
      </c>
    </row>
    <row r="32" spans="1:7" x14ac:dyDescent="0.25">
      <c r="A32" s="13" t="s">
        <v>7</v>
      </c>
      <c r="B32" s="15">
        <v>44916</v>
      </c>
      <c r="C32" s="6">
        <v>0.71875</v>
      </c>
      <c r="D32" s="15">
        <v>44844</v>
      </c>
      <c r="E32" s="6">
        <v>1</v>
      </c>
      <c r="F32" s="13">
        <v>2</v>
      </c>
      <c r="G32" s="13">
        <v>2</v>
      </c>
    </row>
    <row r="33" spans="1:7" x14ac:dyDescent="0.25">
      <c r="A33" s="13" t="s">
        <v>10</v>
      </c>
      <c r="B33" s="15">
        <v>44916</v>
      </c>
      <c r="C33" s="6">
        <v>0</v>
      </c>
      <c r="D33" s="15">
        <v>44844</v>
      </c>
      <c r="F33" s="13">
        <v>0</v>
      </c>
      <c r="G33" s="13">
        <v>0</v>
      </c>
    </row>
    <row r="34" spans="1:7" x14ac:dyDescent="0.25">
      <c r="A34" s="13" t="s">
        <v>3</v>
      </c>
      <c r="B34" s="15">
        <v>44916</v>
      </c>
      <c r="C34" s="6">
        <v>0.55813953488372092</v>
      </c>
      <c r="D34" s="15">
        <v>44851</v>
      </c>
      <c r="E34" s="6">
        <v>0.42857142857142855</v>
      </c>
      <c r="F34" s="13">
        <v>3</v>
      </c>
      <c r="G34" s="13">
        <v>7</v>
      </c>
    </row>
    <row r="35" spans="1:7" x14ac:dyDescent="0.25">
      <c r="A35" s="13" t="s">
        <v>18</v>
      </c>
      <c r="B35" s="15">
        <v>44916</v>
      </c>
      <c r="C35" s="6">
        <v>0.33333333333333331</v>
      </c>
      <c r="D35" s="15">
        <v>44851</v>
      </c>
      <c r="F35" s="13">
        <v>0</v>
      </c>
      <c r="G35" s="13">
        <v>0</v>
      </c>
    </row>
    <row r="36" spans="1:7" x14ac:dyDescent="0.25">
      <c r="A36" s="13" t="s">
        <v>16</v>
      </c>
      <c r="B36" s="15">
        <v>44916</v>
      </c>
      <c r="C36" s="6">
        <v>0.43243243243243246</v>
      </c>
      <c r="D36" s="15">
        <v>44851</v>
      </c>
      <c r="E36" s="6">
        <v>0.25</v>
      </c>
      <c r="F36" s="13">
        <v>2</v>
      </c>
      <c r="G36" s="13">
        <v>8</v>
      </c>
    </row>
    <row r="37" spans="1:7" x14ac:dyDescent="0.25">
      <c r="A37" s="13" t="s">
        <v>22</v>
      </c>
      <c r="B37" s="15">
        <v>44916</v>
      </c>
      <c r="C37" s="6">
        <v>0.48648648648648651</v>
      </c>
      <c r="D37" s="15">
        <v>44851</v>
      </c>
      <c r="E37" s="6">
        <v>0.6</v>
      </c>
      <c r="F37" s="13">
        <v>6</v>
      </c>
      <c r="G37" s="13">
        <v>10</v>
      </c>
    </row>
    <row r="38" spans="1:7" x14ac:dyDescent="0.25">
      <c r="A38" s="13" t="s">
        <v>4</v>
      </c>
      <c r="B38" s="15">
        <v>44916</v>
      </c>
      <c r="C38" s="6">
        <v>0.5957446808510638</v>
      </c>
      <c r="D38" s="15">
        <v>44851</v>
      </c>
      <c r="E38" s="6">
        <v>0.77777777777777779</v>
      </c>
      <c r="F38" s="13">
        <v>7</v>
      </c>
      <c r="G38" s="13">
        <v>9</v>
      </c>
    </row>
    <row r="39" spans="1:7" x14ac:dyDescent="0.25">
      <c r="A39" s="13" t="s">
        <v>6</v>
      </c>
      <c r="B39" s="15">
        <v>44916</v>
      </c>
      <c r="C39" s="6">
        <v>0.57499999999999996</v>
      </c>
      <c r="D39" s="15">
        <v>44851</v>
      </c>
      <c r="E39" s="6">
        <v>0.4</v>
      </c>
      <c r="F39" s="13">
        <v>4</v>
      </c>
      <c r="G39" s="13">
        <v>10</v>
      </c>
    </row>
    <row r="40" spans="1:7" x14ac:dyDescent="0.25">
      <c r="A40" s="13" t="s">
        <v>5</v>
      </c>
      <c r="B40" s="15">
        <v>44916</v>
      </c>
      <c r="C40" s="6">
        <v>0.51063829787234039</v>
      </c>
      <c r="D40" s="15">
        <v>44851</v>
      </c>
      <c r="E40" s="6">
        <v>0.375</v>
      </c>
      <c r="F40" s="13">
        <v>3</v>
      </c>
      <c r="G40" s="13">
        <v>8</v>
      </c>
    </row>
    <row r="41" spans="1:7" x14ac:dyDescent="0.25">
      <c r="A41" s="13" t="s">
        <v>8</v>
      </c>
      <c r="B41" s="15">
        <v>44916</v>
      </c>
      <c r="C41" s="6">
        <v>0.46666666666666667</v>
      </c>
      <c r="D41" s="15">
        <v>44851</v>
      </c>
      <c r="E41" s="6">
        <v>0.4</v>
      </c>
      <c r="F41" s="13">
        <v>2</v>
      </c>
      <c r="G41" s="13">
        <v>5</v>
      </c>
    </row>
    <row r="42" spans="1:7" x14ac:dyDescent="0.25">
      <c r="A42" s="13" t="s">
        <v>12</v>
      </c>
      <c r="B42" s="15">
        <v>44916</v>
      </c>
      <c r="C42" s="6">
        <v>0.48936170212765956</v>
      </c>
      <c r="D42" s="15">
        <v>44851</v>
      </c>
      <c r="E42" s="6">
        <v>0.6</v>
      </c>
      <c r="F42" s="13">
        <v>6</v>
      </c>
      <c r="G42" s="13">
        <v>10</v>
      </c>
    </row>
    <row r="43" spans="1:7" x14ac:dyDescent="0.25">
      <c r="A43" s="13" t="s">
        <v>23</v>
      </c>
      <c r="B43" s="15">
        <v>44916</v>
      </c>
      <c r="C43" s="6">
        <v>0.42307692307692307</v>
      </c>
      <c r="D43" s="15">
        <v>44851</v>
      </c>
      <c r="E43" s="6">
        <v>0.5</v>
      </c>
      <c r="F43" s="13">
        <v>1</v>
      </c>
      <c r="G43" s="13">
        <v>2</v>
      </c>
    </row>
    <row r="44" spans="1:7" x14ac:dyDescent="0.25">
      <c r="A44" s="13" t="s">
        <v>11</v>
      </c>
      <c r="B44" s="15">
        <v>44916</v>
      </c>
      <c r="C44" s="6">
        <v>0.58333333333333337</v>
      </c>
      <c r="D44" s="15">
        <v>44851</v>
      </c>
      <c r="E44" s="6">
        <v>0.5</v>
      </c>
      <c r="F44" s="13">
        <v>2</v>
      </c>
      <c r="G44" s="13">
        <v>4</v>
      </c>
    </row>
    <row r="45" spans="1:7" x14ac:dyDescent="0.25">
      <c r="A45" s="13" t="s">
        <v>9</v>
      </c>
      <c r="B45" s="15">
        <v>44916</v>
      </c>
      <c r="C45" s="6">
        <v>0.33333333333333331</v>
      </c>
      <c r="D45" s="15">
        <v>44851</v>
      </c>
      <c r="E45" s="6">
        <v>0.6</v>
      </c>
      <c r="F45" s="13">
        <v>3</v>
      </c>
      <c r="G45" s="13">
        <v>5</v>
      </c>
    </row>
    <row r="46" spans="1:7" x14ac:dyDescent="0.25">
      <c r="A46" s="13" t="s">
        <v>24</v>
      </c>
      <c r="B46" s="15">
        <v>44916</v>
      </c>
      <c r="C46" s="6">
        <v>0.36842105263157893</v>
      </c>
      <c r="D46" s="15">
        <v>44851</v>
      </c>
      <c r="E46" s="6">
        <v>0.33333333333333331</v>
      </c>
      <c r="F46" s="13">
        <v>2</v>
      </c>
      <c r="G46" s="13">
        <v>6</v>
      </c>
    </row>
    <row r="47" spans="1:7" x14ac:dyDescent="0.25">
      <c r="A47" s="13" t="s">
        <v>26</v>
      </c>
      <c r="B47" s="15">
        <v>44916</v>
      </c>
      <c r="C47" s="6">
        <v>0.42857142857142855</v>
      </c>
      <c r="D47" s="15">
        <v>44851</v>
      </c>
      <c r="E47" s="6">
        <v>0.33333333333333331</v>
      </c>
      <c r="F47" s="13">
        <v>1</v>
      </c>
      <c r="G47" s="13">
        <v>3</v>
      </c>
    </row>
    <row r="48" spans="1:7" x14ac:dyDescent="0.25">
      <c r="A48" s="13" t="s">
        <v>7</v>
      </c>
      <c r="B48" s="15">
        <v>44916</v>
      </c>
      <c r="C48" s="6">
        <v>0.71875</v>
      </c>
      <c r="D48" s="15">
        <v>44851</v>
      </c>
      <c r="E48" s="6">
        <v>0.8571428571428571</v>
      </c>
      <c r="F48" s="13">
        <v>6</v>
      </c>
      <c r="G48" s="13">
        <v>7</v>
      </c>
    </row>
    <row r="49" spans="1:7" x14ac:dyDescent="0.25">
      <c r="A49" s="13" t="s">
        <v>10</v>
      </c>
      <c r="B49" s="15">
        <v>44916</v>
      </c>
      <c r="C49" s="6">
        <v>0</v>
      </c>
      <c r="D49" s="15">
        <v>44851</v>
      </c>
      <c r="F49" s="13">
        <v>0</v>
      </c>
      <c r="G49" s="13">
        <v>0</v>
      </c>
    </row>
    <row r="50" spans="1:7" x14ac:dyDescent="0.25">
      <c r="A50" s="13" t="s">
        <v>3</v>
      </c>
      <c r="B50" s="15">
        <v>44916</v>
      </c>
      <c r="C50" s="6">
        <v>0.55813953488372092</v>
      </c>
      <c r="D50" s="15">
        <v>44858</v>
      </c>
      <c r="E50" s="6">
        <v>0.42857142857142855</v>
      </c>
      <c r="F50" s="13">
        <v>3</v>
      </c>
      <c r="G50" s="13">
        <v>7</v>
      </c>
    </row>
    <row r="51" spans="1:7" x14ac:dyDescent="0.25">
      <c r="A51" s="13" t="s">
        <v>18</v>
      </c>
      <c r="B51" s="15">
        <v>44916</v>
      </c>
      <c r="C51" s="6">
        <v>0.33333333333333331</v>
      </c>
      <c r="D51" s="15">
        <v>44858</v>
      </c>
      <c r="F51" s="13">
        <v>0</v>
      </c>
      <c r="G51" s="13">
        <v>0</v>
      </c>
    </row>
    <row r="52" spans="1:7" x14ac:dyDescent="0.25">
      <c r="A52" s="13" t="s">
        <v>16</v>
      </c>
      <c r="B52" s="15">
        <v>44916</v>
      </c>
      <c r="C52" s="6">
        <v>0.43243243243243246</v>
      </c>
      <c r="D52" s="15">
        <v>44858</v>
      </c>
      <c r="E52" s="6">
        <v>0.25</v>
      </c>
      <c r="F52" s="13">
        <v>2</v>
      </c>
      <c r="G52" s="13">
        <v>8</v>
      </c>
    </row>
    <row r="53" spans="1:7" x14ac:dyDescent="0.25">
      <c r="A53" s="13" t="s">
        <v>22</v>
      </c>
      <c r="B53" s="15">
        <v>44916</v>
      </c>
      <c r="C53" s="6">
        <v>0.48648648648648651</v>
      </c>
      <c r="D53" s="15">
        <v>44858</v>
      </c>
      <c r="E53" s="6">
        <v>0.6</v>
      </c>
      <c r="F53" s="13">
        <v>6</v>
      </c>
      <c r="G53" s="13">
        <v>10</v>
      </c>
    </row>
    <row r="54" spans="1:7" x14ac:dyDescent="0.25">
      <c r="A54" s="13" t="s">
        <v>4</v>
      </c>
      <c r="B54" s="15">
        <v>44916</v>
      </c>
      <c r="C54" s="6">
        <v>0.5957446808510638</v>
      </c>
      <c r="D54" s="15">
        <v>44858</v>
      </c>
      <c r="E54" s="6">
        <v>0.77777777777777779</v>
      </c>
      <c r="F54" s="13">
        <v>7</v>
      </c>
      <c r="G54" s="13">
        <v>9</v>
      </c>
    </row>
    <row r="55" spans="1:7" x14ac:dyDescent="0.25">
      <c r="A55" s="13" t="s">
        <v>6</v>
      </c>
      <c r="B55" s="15">
        <v>44916</v>
      </c>
      <c r="C55" s="6">
        <v>0.57499999999999996</v>
      </c>
      <c r="D55" s="15">
        <v>44858</v>
      </c>
      <c r="E55" s="6">
        <v>0.4</v>
      </c>
      <c r="F55" s="13">
        <v>4</v>
      </c>
      <c r="G55" s="13">
        <v>10</v>
      </c>
    </row>
    <row r="56" spans="1:7" x14ac:dyDescent="0.25">
      <c r="A56" s="13" t="s">
        <v>5</v>
      </c>
      <c r="B56" s="15">
        <v>44916</v>
      </c>
      <c r="C56" s="6">
        <v>0.51063829787234039</v>
      </c>
      <c r="D56" s="15">
        <v>44858</v>
      </c>
      <c r="E56" s="6">
        <v>0.375</v>
      </c>
      <c r="F56" s="13">
        <v>3</v>
      </c>
      <c r="G56" s="13">
        <v>8</v>
      </c>
    </row>
    <row r="57" spans="1:7" x14ac:dyDescent="0.25">
      <c r="A57" s="13" t="s">
        <v>8</v>
      </c>
      <c r="B57" s="15">
        <v>44916</v>
      </c>
      <c r="C57" s="6">
        <v>0.46666666666666667</v>
      </c>
      <c r="D57" s="15">
        <v>44858</v>
      </c>
      <c r="E57" s="6">
        <v>0.4</v>
      </c>
      <c r="F57" s="13">
        <v>2</v>
      </c>
      <c r="G57" s="13">
        <v>5</v>
      </c>
    </row>
    <row r="58" spans="1:7" x14ac:dyDescent="0.25">
      <c r="A58" s="13" t="s">
        <v>12</v>
      </c>
      <c r="B58" s="15">
        <v>44916</v>
      </c>
      <c r="C58" s="6">
        <v>0.48936170212765956</v>
      </c>
      <c r="D58" s="15">
        <v>44858</v>
      </c>
      <c r="E58" s="6">
        <v>0.6</v>
      </c>
      <c r="F58" s="13">
        <v>6</v>
      </c>
      <c r="G58" s="13">
        <v>10</v>
      </c>
    </row>
    <row r="59" spans="1:7" x14ac:dyDescent="0.25">
      <c r="A59" s="13" t="s">
        <v>23</v>
      </c>
      <c r="B59" s="15">
        <v>44916</v>
      </c>
      <c r="C59" s="6">
        <v>0.42307692307692307</v>
      </c>
      <c r="D59" s="15">
        <v>44858</v>
      </c>
      <c r="E59" s="6">
        <v>0.5</v>
      </c>
      <c r="F59" s="13">
        <v>1</v>
      </c>
      <c r="G59" s="13">
        <v>2</v>
      </c>
    </row>
    <row r="60" spans="1:7" x14ac:dyDescent="0.25">
      <c r="A60" s="13" t="s">
        <v>11</v>
      </c>
      <c r="B60" s="15">
        <v>44916</v>
      </c>
      <c r="C60" s="6">
        <v>0.58333333333333337</v>
      </c>
      <c r="D60" s="15">
        <v>44858</v>
      </c>
      <c r="E60" s="6">
        <v>0.5</v>
      </c>
      <c r="F60" s="13">
        <v>2</v>
      </c>
      <c r="G60" s="13">
        <v>4</v>
      </c>
    </row>
    <row r="61" spans="1:7" x14ac:dyDescent="0.25">
      <c r="A61" s="13" t="s">
        <v>9</v>
      </c>
      <c r="B61" s="15">
        <v>44916</v>
      </c>
      <c r="C61" s="6">
        <v>0.33333333333333331</v>
      </c>
      <c r="D61" s="15">
        <v>44858</v>
      </c>
      <c r="E61" s="6">
        <v>0.6</v>
      </c>
      <c r="F61" s="13">
        <v>3</v>
      </c>
      <c r="G61" s="13">
        <v>5</v>
      </c>
    </row>
    <row r="62" spans="1:7" x14ac:dyDescent="0.25">
      <c r="A62" s="13" t="s">
        <v>24</v>
      </c>
      <c r="B62" s="15">
        <v>44916</v>
      </c>
      <c r="C62" s="6">
        <v>0.36842105263157893</v>
      </c>
      <c r="D62" s="15">
        <v>44858</v>
      </c>
      <c r="E62" s="6">
        <v>0.33333333333333331</v>
      </c>
      <c r="F62" s="13">
        <v>2</v>
      </c>
      <c r="G62" s="13">
        <v>6</v>
      </c>
    </row>
    <row r="63" spans="1:7" x14ac:dyDescent="0.25">
      <c r="A63" s="13" t="s">
        <v>26</v>
      </c>
      <c r="B63" s="15">
        <v>44916</v>
      </c>
      <c r="C63" s="6">
        <v>0.42857142857142855</v>
      </c>
      <c r="D63" s="15">
        <v>44858</v>
      </c>
      <c r="E63" s="6">
        <v>0.33333333333333331</v>
      </c>
      <c r="F63" s="13">
        <v>1</v>
      </c>
      <c r="G63" s="13">
        <v>3</v>
      </c>
    </row>
    <row r="64" spans="1:7" x14ac:dyDescent="0.25">
      <c r="A64" s="13" t="s">
        <v>7</v>
      </c>
      <c r="B64" s="15">
        <v>44916</v>
      </c>
      <c r="C64" s="6">
        <v>0.71875</v>
      </c>
      <c r="D64" s="15">
        <v>44858</v>
      </c>
      <c r="E64" s="6">
        <v>0.8571428571428571</v>
      </c>
      <c r="F64" s="13">
        <v>6</v>
      </c>
      <c r="G64" s="13">
        <v>7</v>
      </c>
    </row>
    <row r="65" spans="1:7" x14ac:dyDescent="0.25">
      <c r="A65" s="13" t="s">
        <v>10</v>
      </c>
      <c r="B65" s="15">
        <v>44916</v>
      </c>
      <c r="C65" s="6">
        <v>0</v>
      </c>
      <c r="D65" s="15">
        <v>44858</v>
      </c>
      <c r="F65" s="13">
        <v>0</v>
      </c>
      <c r="G65" s="13">
        <v>0</v>
      </c>
    </row>
    <row r="66" spans="1:7" x14ac:dyDescent="0.25">
      <c r="A66" s="13" t="s">
        <v>3</v>
      </c>
      <c r="B66" s="15">
        <v>44916</v>
      </c>
      <c r="C66" s="6">
        <v>0.55813953488372092</v>
      </c>
      <c r="D66" s="15">
        <v>44865</v>
      </c>
      <c r="E66" s="6">
        <v>0.375</v>
      </c>
      <c r="F66" s="13">
        <v>3</v>
      </c>
      <c r="G66" s="13">
        <v>8</v>
      </c>
    </row>
    <row r="67" spans="1:7" x14ac:dyDescent="0.25">
      <c r="A67" s="13" t="s">
        <v>18</v>
      </c>
      <c r="B67" s="15">
        <v>44916</v>
      </c>
      <c r="C67" s="6">
        <v>0.33333333333333331</v>
      </c>
      <c r="D67" s="15">
        <v>44865</v>
      </c>
      <c r="F67" s="13">
        <v>0</v>
      </c>
      <c r="G67" s="13">
        <v>0</v>
      </c>
    </row>
    <row r="68" spans="1:7" x14ac:dyDescent="0.25">
      <c r="A68" s="13" t="s">
        <v>16</v>
      </c>
      <c r="B68" s="15">
        <v>44916</v>
      </c>
      <c r="C68" s="6">
        <v>0.43243243243243246</v>
      </c>
      <c r="D68" s="15">
        <v>44865</v>
      </c>
      <c r="E68" s="6">
        <v>0.33333333333333331</v>
      </c>
      <c r="F68" s="13">
        <v>3</v>
      </c>
      <c r="G68" s="13">
        <v>9</v>
      </c>
    </row>
    <row r="69" spans="1:7" x14ac:dyDescent="0.25">
      <c r="A69" s="13" t="s">
        <v>22</v>
      </c>
      <c r="B69" s="15">
        <v>44916</v>
      </c>
      <c r="C69" s="6">
        <v>0.48648648648648651</v>
      </c>
      <c r="D69" s="15">
        <v>44865</v>
      </c>
      <c r="E69" s="6">
        <v>0.54545454545454541</v>
      </c>
      <c r="F69" s="13">
        <v>6</v>
      </c>
      <c r="G69" s="13">
        <v>11</v>
      </c>
    </row>
    <row r="70" spans="1:7" x14ac:dyDescent="0.25">
      <c r="A70" s="13" t="s">
        <v>4</v>
      </c>
      <c r="B70" s="15">
        <v>44916</v>
      </c>
      <c r="C70" s="6">
        <v>0.5957446808510638</v>
      </c>
      <c r="D70" s="15">
        <v>44865</v>
      </c>
      <c r="E70" s="6">
        <v>0.8</v>
      </c>
      <c r="F70" s="13">
        <v>8</v>
      </c>
      <c r="G70" s="13">
        <v>10</v>
      </c>
    </row>
    <row r="71" spans="1:7" x14ac:dyDescent="0.25">
      <c r="A71" s="13" t="s">
        <v>6</v>
      </c>
      <c r="B71" s="15">
        <v>44916</v>
      </c>
      <c r="C71" s="6">
        <v>0.57499999999999996</v>
      </c>
      <c r="D71" s="15">
        <v>44865</v>
      </c>
      <c r="E71" s="6">
        <v>0.36363636363636365</v>
      </c>
      <c r="F71" s="13">
        <v>4</v>
      </c>
      <c r="G71" s="13">
        <v>11</v>
      </c>
    </row>
    <row r="72" spans="1:7" x14ac:dyDescent="0.25">
      <c r="A72" s="13" t="s">
        <v>5</v>
      </c>
      <c r="B72" s="15">
        <v>44916</v>
      </c>
      <c r="C72" s="6">
        <v>0.51063829787234039</v>
      </c>
      <c r="D72" s="15">
        <v>44865</v>
      </c>
      <c r="E72" s="6">
        <v>0.44444444444444442</v>
      </c>
      <c r="F72" s="13">
        <v>4</v>
      </c>
      <c r="G72" s="13">
        <v>9</v>
      </c>
    </row>
    <row r="73" spans="1:7" x14ac:dyDescent="0.25">
      <c r="A73" s="13" t="s">
        <v>8</v>
      </c>
      <c r="B73" s="15">
        <v>44916</v>
      </c>
      <c r="C73" s="6">
        <v>0.46666666666666667</v>
      </c>
      <c r="D73" s="15">
        <v>44865</v>
      </c>
      <c r="E73" s="6">
        <v>0.4</v>
      </c>
      <c r="F73" s="13">
        <v>2</v>
      </c>
      <c r="G73" s="13">
        <v>5</v>
      </c>
    </row>
    <row r="74" spans="1:7" x14ac:dyDescent="0.25">
      <c r="A74" s="13" t="s">
        <v>12</v>
      </c>
      <c r="B74" s="15">
        <v>44916</v>
      </c>
      <c r="C74" s="6">
        <v>0.48936170212765956</v>
      </c>
      <c r="D74" s="15">
        <v>44865</v>
      </c>
      <c r="E74" s="6">
        <v>0.54545454545454541</v>
      </c>
      <c r="F74" s="13">
        <v>6</v>
      </c>
      <c r="G74" s="13">
        <v>11</v>
      </c>
    </row>
    <row r="75" spans="1:7" x14ac:dyDescent="0.25">
      <c r="A75" s="13" t="s">
        <v>23</v>
      </c>
      <c r="B75" s="15">
        <v>44916</v>
      </c>
      <c r="C75" s="6">
        <v>0.42307692307692307</v>
      </c>
      <c r="D75" s="15">
        <v>44865</v>
      </c>
      <c r="E75" s="6">
        <v>0.5</v>
      </c>
      <c r="F75" s="13">
        <v>1</v>
      </c>
      <c r="G75" s="13">
        <v>2</v>
      </c>
    </row>
    <row r="76" spans="1:7" x14ac:dyDescent="0.25">
      <c r="A76" s="13" t="s">
        <v>11</v>
      </c>
      <c r="B76" s="15">
        <v>44916</v>
      </c>
      <c r="C76" s="6">
        <v>0.58333333333333337</v>
      </c>
      <c r="D76" s="15">
        <v>44865</v>
      </c>
      <c r="E76" s="6">
        <v>0.5</v>
      </c>
      <c r="F76" s="13">
        <v>2</v>
      </c>
      <c r="G76" s="13">
        <v>4</v>
      </c>
    </row>
    <row r="77" spans="1:7" x14ac:dyDescent="0.25">
      <c r="A77" s="13" t="s">
        <v>9</v>
      </c>
      <c r="B77" s="15">
        <v>44916</v>
      </c>
      <c r="C77" s="6">
        <v>0.33333333333333331</v>
      </c>
      <c r="D77" s="15">
        <v>44865</v>
      </c>
      <c r="E77" s="6">
        <v>0.66666666666666663</v>
      </c>
      <c r="F77" s="13">
        <v>4</v>
      </c>
      <c r="G77" s="13">
        <v>6</v>
      </c>
    </row>
    <row r="78" spans="1:7" x14ac:dyDescent="0.25">
      <c r="A78" s="13" t="s">
        <v>24</v>
      </c>
      <c r="B78" s="15">
        <v>44916</v>
      </c>
      <c r="C78" s="6">
        <v>0.36842105263157893</v>
      </c>
      <c r="D78" s="15">
        <v>44865</v>
      </c>
      <c r="E78" s="6">
        <v>0.2857142857142857</v>
      </c>
      <c r="F78" s="13">
        <v>2</v>
      </c>
      <c r="G78" s="13">
        <v>7</v>
      </c>
    </row>
    <row r="79" spans="1:7" x14ac:dyDescent="0.25">
      <c r="A79" s="13" t="s">
        <v>26</v>
      </c>
      <c r="B79" s="15">
        <v>44916</v>
      </c>
      <c r="C79" s="6">
        <v>0.42857142857142855</v>
      </c>
      <c r="D79" s="15">
        <v>44865</v>
      </c>
      <c r="E79" s="6">
        <v>0.33333333333333331</v>
      </c>
      <c r="F79" s="13">
        <v>1</v>
      </c>
      <c r="G79" s="13">
        <v>3</v>
      </c>
    </row>
    <row r="80" spans="1:7" x14ac:dyDescent="0.25">
      <c r="A80" s="13" t="s">
        <v>7</v>
      </c>
      <c r="B80" s="15">
        <v>44916</v>
      </c>
      <c r="C80" s="6">
        <v>0.71875</v>
      </c>
      <c r="D80" s="15">
        <v>44865</v>
      </c>
      <c r="E80" s="6">
        <v>0.875</v>
      </c>
      <c r="F80" s="13">
        <v>7</v>
      </c>
      <c r="G80" s="13">
        <v>8</v>
      </c>
    </row>
    <row r="81" spans="1:7" x14ac:dyDescent="0.25">
      <c r="A81" s="13" t="s">
        <v>10</v>
      </c>
      <c r="B81" s="15">
        <v>44916</v>
      </c>
      <c r="C81" s="6">
        <v>0</v>
      </c>
      <c r="D81" s="15">
        <v>44865</v>
      </c>
      <c r="F81" s="13">
        <v>0</v>
      </c>
      <c r="G81" s="13">
        <v>0</v>
      </c>
    </row>
    <row r="82" spans="1:7" x14ac:dyDescent="0.25">
      <c r="A82" s="13" t="s">
        <v>3</v>
      </c>
      <c r="B82" s="15">
        <v>44916</v>
      </c>
      <c r="C82" s="6">
        <v>0.55813953488372092</v>
      </c>
      <c r="D82" s="15">
        <v>44872</v>
      </c>
      <c r="E82" s="6">
        <v>0.38461538461538464</v>
      </c>
      <c r="F82" s="13">
        <v>5</v>
      </c>
      <c r="G82" s="13">
        <v>13</v>
      </c>
    </row>
    <row r="83" spans="1:7" x14ac:dyDescent="0.25">
      <c r="A83" s="13" t="s">
        <v>18</v>
      </c>
      <c r="B83" s="15">
        <v>44916</v>
      </c>
      <c r="C83" s="6">
        <v>0.33333333333333331</v>
      </c>
      <c r="D83" s="15">
        <v>44872</v>
      </c>
      <c r="F83" s="13">
        <v>0</v>
      </c>
      <c r="G83" s="13">
        <v>0</v>
      </c>
    </row>
    <row r="84" spans="1:7" x14ac:dyDescent="0.25">
      <c r="A84" s="13" t="s">
        <v>16</v>
      </c>
      <c r="B84" s="15">
        <v>44916</v>
      </c>
      <c r="C84" s="6">
        <v>0.43243243243243246</v>
      </c>
      <c r="D84" s="15">
        <v>44872</v>
      </c>
      <c r="E84" s="6">
        <v>0.30769230769230771</v>
      </c>
      <c r="F84" s="13">
        <v>4</v>
      </c>
      <c r="G84" s="13">
        <v>13</v>
      </c>
    </row>
    <row r="85" spans="1:7" x14ac:dyDescent="0.25">
      <c r="A85" s="13" t="s">
        <v>22</v>
      </c>
      <c r="B85" s="15">
        <v>44916</v>
      </c>
      <c r="C85" s="6">
        <v>0.48648648648648651</v>
      </c>
      <c r="D85" s="15">
        <v>44872</v>
      </c>
      <c r="E85" s="6">
        <v>0.66666666666666663</v>
      </c>
      <c r="F85" s="13">
        <v>10</v>
      </c>
      <c r="G85" s="13">
        <v>15</v>
      </c>
    </row>
    <row r="86" spans="1:7" x14ac:dyDescent="0.25">
      <c r="A86" s="13" t="s">
        <v>4</v>
      </c>
      <c r="B86" s="15">
        <v>44916</v>
      </c>
      <c r="C86" s="6">
        <v>0.5957446808510638</v>
      </c>
      <c r="D86" s="15">
        <v>44872</v>
      </c>
      <c r="E86" s="6">
        <v>0.7857142857142857</v>
      </c>
      <c r="F86" s="13">
        <v>11</v>
      </c>
      <c r="G86" s="13">
        <v>14</v>
      </c>
    </row>
    <row r="87" spans="1:7" x14ac:dyDescent="0.25">
      <c r="A87" s="13" t="s">
        <v>6</v>
      </c>
      <c r="B87" s="15">
        <v>44916</v>
      </c>
      <c r="C87" s="6">
        <v>0.57499999999999996</v>
      </c>
      <c r="D87" s="15">
        <v>44872</v>
      </c>
      <c r="E87" s="6">
        <v>0.38461538461538464</v>
      </c>
      <c r="F87" s="13">
        <v>5</v>
      </c>
      <c r="G87" s="13">
        <v>13</v>
      </c>
    </row>
    <row r="88" spans="1:7" x14ac:dyDescent="0.25">
      <c r="A88" s="13" t="s">
        <v>5</v>
      </c>
      <c r="B88" s="15">
        <v>44916</v>
      </c>
      <c r="C88" s="6">
        <v>0.51063829787234039</v>
      </c>
      <c r="D88" s="15">
        <v>44872</v>
      </c>
      <c r="E88" s="6">
        <v>0.42857142857142855</v>
      </c>
      <c r="F88" s="13">
        <v>6</v>
      </c>
      <c r="G88" s="13">
        <v>14</v>
      </c>
    </row>
    <row r="89" spans="1:7" x14ac:dyDescent="0.25">
      <c r="A89" s="13" t="s">
        <v>8</v>
      </c>
      <c r="B89" s="15">
        <v>44916</v>
      </c>
      <c r="C89" s="6">
        <v>0.46666666666666667</v>
      </c>
      <c r="D89" s="15">
        <v>44872</v>
      </c>
      <c r="E89" s="6">
        <v>0.5</v>
      </c>
      <c r="F89" s="13">
        <v>5</v>
      </c>
      <c r="G89" s="13">
        <v>10</v>
      </c>
    </row>
    <row r="90" spans="1:7" x14ac:dyDescent="0.25">
      <c r="A90" s="13" t="s">
        <v>12</v>
      </c>
      <c r="B90" s="15">
        <v>44916</v>
      </c>
      <c r="C90" s="6">
        <v>0.48936170212765956</v>
      </c>
      <c r="D90" s="15">
        <v>44872</v>
      </c>
      <c r="E90" s="6">
        <v>0.5</v>
      </c>
      <c r="F90" s="13">
        <v>8</v>
      </c>
      <c r="G90" s="13">
        <v>16</v>
      </c>
    </row>
    <row r="91" spans="1:7" x14ac:dyDescent="0.25">
      <c r="A91" s="13" t="s">
        <v>23</v>
      </c>
      <c r="B91" s="15">
        <v>44916</v>
      </c>
      <c r="C91" s="6">
        <v>0.42307692307692307</v>
      </c>
      <c r="D91" s="15">
        <v>44872</v>
      </c>
      <c r="E91" s="6">
        <v>0.66666666666666663</v>
      </c>
      <c r="F91" s="13">
        <v>2</v>
      </c>
      <c r="G91" s="13">
        <v>3</v>
      </c>
    </row>
    <row r="92" spans="1:7" x14ac:dyDescent="0.25">
      <c r="A92" s="13" t="s">
        <v>11</v>
      </c>
      <c r="B92" s="15">
        <v>44916</v>
      </c>
      <c r="C92" s="6">
        <v>0.58333333333333337</v>
      </c>
      <c r="D92" s="15">
        <v>44872</v>
      </c>
      <c r="E92" s="6">
        <v>0.5</v>
      </c>
      <c r="F92" s="13">
        <v>3</v>
      </c>
      <c r="G92" s="13">
        <v>6</v>
      </c>
    </row>
    <row r="93" spans="1:7" x14ac:dyDescent="0.25">
      <c r="A93" s="13" t="s">
        <v>9</v>
      </c>
      <c r="B93" s="15">
        <v>44916</v>
      </c>
      <c r="C93" s="6">
        <v>0.33333333333333331</v>
      </c>
      <c r="D93" s="15">
        <v>44872</v>
      </c>
      <c r="E93" s="6">
        <v>0.66666666666666663</v>
      </c>
      <c r="F93" s="13">
        <v>4</v>
      </c>
      <c r="G93" s="13">
        <v>6</v>
      </c>
    </row>
    <row r="94" spans="1:7" x14ac:dyDescent="0.25">
      <c r="A94" s="13" t="s">
        <v>24</v>
      </c>
      <c r="B94" s="15">
        <v>44916</v>
      </c>
      <c r="C94" s="6">
        <v>0.36842105263157893</v>
      </c>
      <c r="D94" s="15">
        <v>44872</v>
      </c>
      <c r="E94" s="6">
        <v>0.41666666666666669</v>
      </c>
      <c r="F94" s="13">
        <v>5</v>
      </c>
      <c r="G94" s="13">
        <v>12</v>
      </c>
    </row>
    <row r="95" spans="1:7" x14ac:dyDescent="0.25">
      <c r="A95" s="13" t="s">
        <v>26</v>
      </c>
      <c r="B95" s="15">
        <v>44916</v>
      </c>
      <c r="C95" s="6">
        <v>0.42857142857142855</v>
      </c>
      <c r="D95" s="15">
        <v>44872</v>
      </c>
      <c r="E95" s="6">
        <v>0.33333333333333331</v>
      </c>
      <c r="F95" s="13">
        <v>2</v>
      </c>
      <c r="G95" s="13">
        <v>6</v>
      </c>
    </row>
    <row r="96" spans="1:7" x14ac:dyDescent="0.25">
      <c r="A96" s="13" t="s">
        <v>7</v>
      </c>
      <c r="B96" s="15">
        <v>44916</v>
      </c>
      <c r="C96" s="6">
        <v>0.71875</v>
      </c>
      <c r="D96" s="15">
        <v>44872</v>
      </c>
      <c r="E96" s="6">
        <v>0.875</v>
      </c>
      <c r="F96" s="13">
        <v>7</v>
      </c>
      <c r="G96" s="13">
        <v>8</v>
      </c>
    </row>
    <row r="97" spans="1:7" x14ac:dyDescent="0.25">
      <c r="A97" s="13" t="s">
        <v>10</v>
      </c>
      <c r="B97" s="15">
        <v>44916</v>
      </c>
      <c r="C97" s="6">
        <v>0</v>
      </c>
      <c r="D97" s="15">
        <v>44872</v>
      </c>
      <c r="F97" s="13">
        <v>0</v>
      </c>
      <c r="G97" s="13">
        <v>0</v>
      </c>
    </row>
    <row r="98" spans="1:7" x14ac:dyDescent="0.25">
      <c r="A98" s="13" t="s">
        <v>3</v>
      </c>
      <c r="B98" s="15">
        <v>44916</v>
      </c>
      <c r="C98" s="6">
        <v>0.55813953488372092</v>
      </c>
      <c r="D98" s="15">
        <v>44879</v>
      </c>
      <c r="E98" s="6">
        <v>0.52631578947368418</v>
      </c>
      <c r="F98" s="13">
        <v>10</v>
      </c>
      <c r="G98" s="13">
        <v>19</v>
      </c>
    </row>
    <row r="99" spans="1:7" x14ac:dyDescent="0.25">
      <c r="A99" s="13" t="s">
        <v>18</v>
      </c>
      <c r="B99" s="15">
        <v>44916</v>
      </c>
      <c r="C99" s="6">
        <v>0.33333333333333331</v>
      </c>
      <c r="D99" s="15">
        <v>44879</v>
      </c>
      <c r="E99" s="6">
        <v>0</v>
      </c>
      <c r="F99" s="13">
        <v>0</v>
      </c>
      <c r="G99" s="13">
        <v>1</v>
      </c>
    </row>
    <row r="100" spans="1:7" x14ac:dyDescent="0.25">
      <c r="A100" s="13" t="s">
        <v>16</v>
      </c>
      <c r="B100" s="15">
        <v>44916</v>
      </c>
      <c r="C100" s="6">
        <v>0.43243243243243246</v>
      </c>
      <c r="D100" s="15">
        <v>44879</v>
      </c>
      <c r="E100" s="6">
        <v>0.2857142857142857</v>
      </c>
      <c r="F100" s="13">
        <v>6</v>
      </c>
      <c r="G100" s="13">
        <v>21</v>
      </c>
    </row>
    <row r="101" spans="1:7" x14ac:dyDescent="0.25">
      <c r="A101" s="13" t="s">
        <v>22</v>
      </c>
      <c r="B101" s="15">
        <v>44916</v>
      </c>
      <c r="C101" s="6">
        <v>0.48648648648648651</v>
      </c>
      <c r="D101" s="15">
        <v>44879</v>
      </c>
      <c r="E101" s="6">
        <v>0.58333333333333337</v>
      </c>
      <c r="F101" s="13">
        <v>14</v>
      </c>
      <c r="G101" s="13">
        <v>24</v>
      </c>
    </row>
    <row r="102" spans="1:7" x14ac:dyDescent="0.25">
      <c r="A102" s="13" t="s">
        <v>4</v>
      </c>
      <c r="B102" s="15">
        <v>44916</v>
      </c>
      <c r="C102" s="6">
        <v>0.5957446808510638</v>
      </c>
      <c r="D102" s="15">
        <v>44879</v>
      </c>
      <c r="E102" s="6">
        <v>0.73913043478260865</v>
      </c>
      <c r="F102" s="13">
        <v>17</v>
      </c>
      <c r="G102" s="13">
        <v>23</v>
      </c>
    </row>
    <row r="103" spans="1:7" x14ac:dyDescent="0.25">
      <c r="A103" s="13" t="s">
        <v>6</v>
      </c>
      <c r="B103" s="15">
        <v>44916</v>
      </c>
      <c r="C103" s="6">
        <v>0.57499999999999996</v>
      </c>
      <c r="D103" s="15">
        <v>44879</v>
      </c>
      <c r="E103" s="6">
        <v>0.45454545454545453</v>
      </c>
      <c r="F103" s="13">
        <v>10</v>
      </c>
      <c r="G103" s="13">
        <v>22</v>
      </c>
    </row>
    <row r="104" spans="1:7" x14ac:dyDescent="0.25">
      <c r="A104" s="13" t="s">
        <v>5</v>
      </c>
      <c r="B104" s="15">
        <v>44916</v>
      </c>
      <c r="C104" s="6">
        <v>0.51063829787234039</v>
      </c>
      <c r="D104" s="15">
        <v>44879</v>
      </c>
      <c r="E104" s="6">
        <v>0.52173913043478259</v>
      </c>
      <c r="F104" s="13">
        <v>12</v>
      </c>
      <c r="G104" s="13">
        <v>23</v>
      </c>
    </row>
    <row r="105" spans="1:7" x14ac:dyDescent="0.25">
      <c r="A105" s="13" t="s">
        <v>8</v>
      </c>
      <c r="B105" s="15">
        <v>44916</v>
      </c>
      <c r="C105" s="6">
        <v>0.46666666666666667</v>
      </c>
      <c r="D105" s="15">
        <v>44879</v>
      </c>
      <c r="E105" s="6">
        <v>0.4375</v>
      </c>
      <c r="F105" s="13">
        <v>7</v>
      </c>
      <c r="G105" s="13">
        <v>16</v>
      </c>
    </row>
    <row r="106" spans="1:7" x14ac:dyDescent="0.25">
      <c r="A106" s="13" t="s">
        <v>12</v>
      </c>
      <c r="B106" s="15">
        <v>44916</v>
      </c>
      <c r="C106" s="6">
        <v>0.48936170212765956</v>
      </c>
      <c r="D106" s="15">
        <v>44879</v>
      </c>
      <c r="E106" s="6">
        <v>0.56000000000000005</v>
      </c>
      <c r="F106" s="13">
        <v>14</v>
      </c>
      <c r="G106" s="13">
        <v>25</v>
      </c>
    </row>
    <row r="107" spans="1:7" x14ac:dyDescent="0.25">
      <c r="A107" s="13" t="s">
        <v>23</v>
      </c>
      <c r="B107" s="15">
        <v>44916</v>
      </c>
      <c r="C107" s="6">
        <v>0.42307692307692307</v>
      </c>
      <c r="D107" s="15">
        <v>44879</v>
      </c>
      <c r="E107" s="6">
        <v>0.44444444444444442</v>
      </c>
      <c r="F107" s="13">
        <v>4</v>
      </c>
      <c r="G107" s="13">
        <v>9</v>
      </c>
    </row>
    <row r="108" spans="1:7" x14ac:dyDescent="0.25">
      <c r="A108" s="13" t="s">
        <v>11</v>
      </c>
      <c r="B108" s="15">
        <v>44916</v>
      </c>
      <c r="C108" s="6">
        <v>0.58333333333333337</v>
      </c>
      <c r="D108" s="15">
        <v>44879</v>
      </c>
      <c r="E108" s="6">
        <v>0.4</v>
      </c>
      <c r="F108" s="13">
        <v>4</v>
      </c>
      <c r="G108" s="13">
        <v>10</v>
      </c>
    </row>
    <row r="109" spans="1:7" x14ac:dyDescent="0.25">
      <c r="A109" s="13" t="s">
        <v>9</v>
      </c>
      <c r="B109" s="15">
        <v>44916</v>
      </c>
      <c r="C109" s="6">
        <v>0.33333333333333331</v>
      </c>
      <c r="D109" s="15">
        <v>44879</v>
      </c>
      <c r="E109" s="6">
        <v>0.54545454545454541</v>
      </c>
      <c r="F109" s="13">
        <v>6</v>
      </c>
      <c r="G109" s="13">
        <v>11</v>
      </c>
    </row>
    <row r="110" spans="1:7" x14ac:dyDescent="0.25">
      <c r="A110" s="13" t="s">
        <v>24</v>
      </c>
      <c r="B110" s="15">
        <v>44916</v>
      </c>
      <c r="C110" s="6">
        <v>0.36842105263157893</v>
      </c>
      <c r="D110" s="15">
        <v>44879</v>
      </c>
      <c r="E110" s="6">
        <v>0.33333333333333331</v>
      </c>
      <c r="F110" s="13">
        <v>5</v>
      </c>
      <c r="G110" s="13">
        <v>15</v>
      </c>
    </row>
    <row r="111" spans="1:7" x14ac:dyDescent="0.25">
      <c r="A111" s="13" t="s">
        <v>26</v>
      </c>
      <c r="B111" s="15">
        <v>44916</v>
      </c>
      <c r="C111" s="6">
        <v>0.42857142857142855</v>
      </c>
      <c r="D111" s="15">
        <v>44879</v>
      </c>
      <c r="E111" s="6">
        <v>0.33333333333333331</v>
      </c>
      <c r="F111" s="13">
        <v>2</v>
      </c>
      <c r="G111" s="13">
        <v>6</v>
      </c>
    </row>
    <row r="112" spans="1:7" x14ac:dyDescent="0.25">
      <c r="A112" s="13" t="s">
        <v>7</v>
      </c>
      <c r="B112" s="15">
        <v>44916</v>
      </c>
      <c r="C112" s="6">
        <v>0.71875</v>
      </c>
      <c r="D112" s="15">
        <v>44879</v>
      </c>
      <c r="E112" s="6">
        <v>0.7857142857142857</v>
      </c>
      <c r="F112" s="13">
        <v>11</v>
      </c>
      <c r="G112" s="13">
        <v>14</v>
      </c>
    </row>
    <row r="113" spans="1:7" x14ac:dyDescent="0.25">
      <c r="A113" s="13" t="s">
        <v>10</v>
      </c>
      <c r="B113" s="15">
        <v>44916</v>
      </c>
      <c r="C113" s="6">
        <v>0</v>
      </c>
      <c r="D113" s="15">
        <v>44879</v>
      </c>
      <c r="F113" s="13">
        <v>0</v>
      </c>
      <c r="G113" s="13">
        <v>0</v>
      </c>
    </row>
    <row r="114" spans="1:7" x14ac:dyDescent="0.25">
      <c r="A114" s="13" t="s">
        <v>3</v>
      </c>
      <c r="B114" s="15">
        <v>44916</v>
      </c>
      <c r="C114" s="6">
        <v>0.55813953488372092</v>
      </c>
      <c r="D114" s="15">
        <v>44886</v>
      </c>
      <c r="E114" s="6">
        <v>0.56521739130434778</v>
      </c>
      <c r="F114" s="13">
        <v>13</v>
      </c>
      <c r="G114" s="13">
        <v>23</v>
      </c>
    </row>
    <row r="115" spans="1:7" x14ac:dyDescent="0.25">
      <c r="A115" s="13" t="s">
        <v>18</v>
      </c>
      <c r="B115" s="15">
        <v>44916</v>
      </c>
      <c r="C115" s="6">
        <v>0.33333333333333331</v>
      </c>
      <c r="D115" s="15">
        <v>44886</v>
      </c>
      <c r="E115" s="6">
        <v>0</v>
      </c>
      <c r="F115" s="13">
        <v>0</v>
      </c>
      <c r="G115" s="13">
        <v>1</v>
      </c>
    </row>
    <row r="116" spans="1:7" x14ac:dyDescent="0.25">
      <c r="A116" s="13" t="s">
        <v>16</v>
      </c>
      <c r="B116" s="15">
        <v>44916</v>
      </c>
      <c r="C116" s="6">
        <v>0.43243243243243246</v>
      </c>
      <c r="D116" s="15">
        <v>44886</v>
      </c>
      <c r="E116" s="6">
        <v>0.33333333333333331</v>
      </c>
      <c r="F116" s="13">
        <v>8</v>
      </c>
      <c r="G116" s="13">
        <v>24</v>
      </c>
    </row>
    <row r="117" spans="1:7" x14ac:dyDescent="0.25">
      <c r="A117" s="13" t="s">
        <v>22</v>
      </c>
      <c r="B117" s="15">
        <v>44916</v>
      </c>
      <c r="C117" s="6">
        <v>0.48648648648648651</v>
      </c>
      <c r="D117" s="15">
        <v>44886</v>
      </c>
      <c r="E117" s="6">
        <v>0.58333333333333337</v>
      </c>
      <c r="F117" s="13">
        <v>14</v>
      </c>
      <c r="G117" s="13">
        <v>24</v>
      </c>
    </row>
    <row r="118" spans="1:7" x14ac:dyDescent="0.25">
      <c r="A118" s="13" t="s">
        <v>4</v>
      </c>
      <c r="B118" s="15">
        <v>44916</v>
      </c>
      <c r="C118" s="6">
        <v>0.5957446808510638</v>
      </c>
      <c r="D118" s="15">
        <v>44886</v>
      </c>
      <c r="E118" s="6">
        <v>0.62962962962962965</v>
      </c>
      <c r="F118" s="13">
        <v>17</v>
      </c>
      <c r="G118" s="13">
        <v>27</v>
      </c>
    </row>
    <row r="119" spans="1:7" x14ac:dyDescent="0.25">
      <c r="A119" s="13" t="s">
        <v>6</v>
      </c>
      <c r="B119" s="15">
        <v>44916</v>
      </c>
      <c r="C119" s="6">
        <v>0.57499999999999996</v>
      </c>
      <c r="D119" s="15">
        <v>44886</v>
      </c>
      <c r="E119" s="6">
        <v>0.44</v>
      </c>
      <c r="F119" s="13">
        <v>11</v>
      </c>
      <c r="G119" s="13">
        <v>25</v>
      </c>
    </row>
    <row r="120" spans="1:7" x14ac:dyDescent="0.25">
      <c r="A120" s="13" t="s">
        <v>5</v>
      </c>
      <c r="B120" s="15">
        <v>44916</v>
      </c>
      <c r="C120" s="6">
        <v>0.51063829787234039</v>
      </c>
      <c r="D120" s="15">
        <v>44886</v>
      </c>
      <c r="E120" s="6">
        <v>0.48148148148148145</v>
      </c>
      <c r="F120" s="13">
        <v>13</v>
      </c>
      <c r="G120" s="13">
        <v>27</v>
      </c>
    </row>
    <row r="121" spans="1:7" x14ac:dyDescent="0.25">
      <c r="A121" s="13" t="s">
        <v>8</v>
      </c>
      <c r="B121" s="15">
        <v>44916</v>
      </c>
      <c r="C121" s="6">
        <v>0.46666666666666667</v>
      </c>
      <c r="D121" s="15">
        <v>44886</v>
      </c>
      <c r="E121" s="6">
        <v>0.44444444444444442</v>
      </c>
      <c r="F121" s="13">
        <v>8</v>
      </c>
      <c r="G121" s="13">
        <v>18</v>
      </c>
    </row>
    <row r="122" spans="1:7" x14ac:dyDescent="0.25">
      <c r="A122" s="13" t="s">
        <v>12</v>
      </c>
      <c r="B122" s="15">
        <v>44916</v>
      </c>
      <c r="C122" s="6">
        <v>0.48936170212765956</v>
      </c>
      <c r="D122" s="15">
        <v>44886</v>
      </c>
      <c r="E122" s="6">
        <v>0.55172413793103448</v>
      </c>
      <c r="F122" s="13">
        <v>16</v>
      </c>
      <c r="G122" s="13">
        <v>29</v>
      </c>
    </row>
    <row r="123" spans="1:7" x14ac:dyDescent="0.25">
      <c r="A123" s="13" t="s">
        <v>23</v>
      </c>
      <c r="B123" s="15">
        <v>44916</v>
      </c>
      <c r="C123" s="6">
        <v>0.42307692307692307</v>
      </c>
      <c r="D123" s="15">
        <v>44886</v>
      </c>
      <c r="E123" s="6">
        <v>0.46153846153846156</v>
      </c>
      <c r="F123" s="13">
        <v>6</v>
      </c>
      <c r="G123" s="13">
        <v>13</v>
      </c>
    </row>
    <row r="124" spans="1:7" x14ac:dyDescent="0.25">
      <c r="A124" s="13" t="s">
        <v>11</v>
      </c>
      <c r="B124" s="15">
        <v>44916</v>
      </c>
      <c r="C124" s="6">
        <v>0.58333333333333337</v>
      </c>
      <c r="D124" s="15">
        <v>44886</v>
      </c>
      <c r="E124" s="6">
        <v>0.5</v>
      </c>
      <c r="F124" s="13">
        <v>6</v>
      </c>
      <c r="G124" s="13">
        <v>12</v>
      </c>
    </row>
    <row r="125" spans="1:7" x14ac:dyDescent="0.25">
      <c r="A125" s="13" t="s">
        <v>9</v>
      </c>
      <c r="B125" s="15">
        <v>44916</v>
      </c>
      <c r="C125" s="6">
        <v>0.33333333333333331</v>
      </c>
      <c r="D125" s="15">
        <v>44886</v>
      </c>
      <c r="E125" s="6">
        <v>0.42857142857142855</v>
      </c>
      <c r="F125" s="13">
        <v>6</v>
      </c>
      <c r="G125" s="13">
        <v>14</v>
      </c>
    </row>
    <row r="126" spans="1:7" x14ac:dyDescent="0.25">
      <c r="A126" s="13" t="s">
        <v>24</v>
      </c>
      <c r="B126" s="15">
        <v>44916</v>
      </c>
      <c r="C126" s="6">
        <v>0.36842105263157893</v>
      </c>
      <c r="D126" s="15">
        <v>44886</v>
      </c>
      <c r="E126" s="6">
        <v>0.35294117647058826</v>
      </c>
      <c r="F126" s="13">
        <v>6</v>
      </c>
      <c r="G126" s="13">
        <v>17</v>
      </c>
    </row>
    <row r="127" spans="1:7" x14ac:dyDescent="0.25">
      <c r="A127" s="13" t="s">
        <v>26</v>
      </c>
      <c r="B127" s="15">
        <v>44916</v>
      </c>
      <c r="C127" s="6">
        <v>0.42857142857142855</v>
      </c>
      <c r="D127" s="15">
        <v>44886</v>
      </c>
      <c r="E127" s="6">
        <v>0.42857142857142855</v>
      </c>
      <c r="F127" s="13">
        <v>3</v>
      </c>
      <c r="G127" s="13">
        <v>7</v>
      </c>
    </row>
    <row r="128" spans="1:7" x14ac:dyDescent="0.25">
      <c r="A128" s="13" t="s">
        <v>7</v>
      </c>
      <c r="B128" s="15">
        <v>44916</v>
      </c>
      <c r="C128" s="6">
        <v>0.71875</v>
      </c>
      <c r="D128" s="15">
        <v>44886</v>
      </c>
      <c r="E128" s="6">
        <v>0.82352941176470584</v>
      </c>
      <c r="F128" s="13">
        <v>14</v>
      </c>
      <c r="G128" s="13">
        <v>17</v>
      </c>
    </row>
    <row r="129" spans="1:7" x14ac:dyDescent="0.25">
      <c r="A129" s="13" t="s">
        <v>10</v>
      </c>
      <c r="B129" s="15">
        <v>44916</v>
      </c>
      <c r="C129" s="6">
        <v>0</v>
      </c>
      <c r="D129" s="15">
        <v>44886</v>
      </c>
      <c r="F129" s="13">
        <v>0</v>
      </c>
      <c r="G129" s="13">
        <v>0</v>
      </c>
    </row>
    <row r="130" spans="1:7" x14ac:dyDescent="0.25">
      <c r="A130" s="13" t="s">
        <v>3</v>
      </c>
      <c r="B130" s="15">
        <v>44916</v>
      </c>
      <c r="C130" s="6">
        <v>0.55813953488372092</v>
      </c>
      <c r="D130" s="15">
        <v>44893</v>
      </c>
      <c r="E130" s="6">
        <v>0.55172413793103448</v>
      </c>
      <c r="F130" s="13">
        <v>16</v>
      </c>
      <c r="G130" s="13">
        <v>29</v>
      </c>
    </row>
    <row r="131" spans="1:7" x14ac:dyDescent="0.25">
      <c r="A131" s="13" t="s">
        <v>18</v>
      </c>
      <c r="B131" s="15">
        <v>44916</v>
      </c>
      <c r="C131" s="6">
        <v>0.33333333333333331</v>
      </c>
      <c r="D131" s="15">
        <v>44893</v>
      </c>
      <c r="E131" s="6">
        <v>0.25</v>
      </c>
      <c r="F131" s="13">
        <v>1</v>
      </c>
      <c r="G131" s="13">
        <v>4</v>
      </c>
    </row>
    <row r="132" spans="1:7" x14ac:dyDescent="0.25">
      <c r="A132" s="13" t="s">
        <v>16</v>
      </c>
      <c r="B132" s="15">
        <v>44916</v>
      </c>
      <c r="C132" s="6">
        <v>0.43243243243243246</v>
      </c>
      <c r="D132" s="15">
        <v>44893</v>
      </c>
      <c r="E132" s="6">
        <v>0.35714285714285715</v>
      </c>
      <c r="F132" s="13">
        <v>10</v>
      </c>
      <c r="G132" s="13">
        <v>28</v>
      </c>
    </row>
    <row r="133" spans="1:7" x14ac:dyDescent="0.25">
      <c r="A133" s="13" t="s">
        <v>22</v>
      </c>
      <c r="B133" s="15">
        <v>44916</v>
      </c>
      <c r="C133" s="6">
        <v>0.48648648648648651</v>
      </c>
      <c r="D133" s="15">
        <v>44893</v>
      </c>
      <c r="E133" s="6">
        <v>0.53333333333333333</v>
      </c>
      <c r="F133" s="13">
        <v>16</v>
      </c>
      <c r="G133" s="13">
        <v>30</v>
      </c>
    </row>
    <row r="134" spans="1:7" x14ac:dyDescent="0.25">
      <c r="A134" s="13" t="s">
        <v>4</v>
      </c>
      <c r="B134" s="15">
        <v>44916</v>
      </c>
      <c r="C134" s="6">
        <v>0.5957446808510638</v>
      </c>
      <c r="D134" s="15">
        <v>44893</v>
      </c>
      <c r="E134" s="6">
        <v>0.63636363636363635</v>
      </c>
      <c r="F134" s="13">
        <v>21</v>
      </c>
      <c r="G134" s="13">
        <v>33</v>
      </c>
    </row>
    <row r="135" spans="1:7" x14ac:dyDescent="0.25">
      <c r="A135" s="13" t="s">
        <v>6</v>
      </c>
      <c r="B135" s="15">
        <v>44916</v>
      </c>
      <c r="C135" s="6">
        <v>0.57499999999999996</v>
      </c>
      <c r="D135" s="15">
        <v>44893</v>
      </c>
      <c r="E135" s="6">
        <v>0.5161290322580645</v>
      </c>
      <c r="F135" s="13">
        <v>16</v>
      </c>
      <c r="G135" s="13">
        <v>31</v>
      </c>
    </row>
    <row r="136" spans="1:7" x14ac:dyDescent="0.25">
      <c r="A136" s="13" t="s">
        <v>5</v>
      </c>
      <c r="B136" s="15">
        <v>44916</v>
      </c>
      <c r="C136" s="6">
        <v>0.51063829787234039</v>
      </c>
      <c r="D136" s="15">
        <v>44893</v>
      </c>
      <c r="E136" s="6">
        <v>0.51515151515151514</v>
      </c>
      <c r="F136" s="13">
        <v>17</v>
      </c>
      <c r="G136" s="13">
        <v>33</v>
      </c>
    </row>
    <row r="137" spans="1:7" x14ac:dyDescent="0.25">
      <c r="A137" s="13" t="s">
        <v>8</v>
      </c>
      <c r="B137" s="15">
        <v>44916</v>
      </c>
      <c r="C137" s="6">
        <v>0.46666666666666667</v>
      </c>
      <c r="D137" s="15">
        <v>44893</v>
      </c>
      <c r="E137" s="6">
        <v>0.4</v>
      </c>
      <c r="F137" s="13">
        <v>8</v>
      </c>
      <c r="G137" s="13">
        <v>20</v>
      </c>
    </row>
    <row r="138" spans="1:7" x14ac:dyDescent="0.25">
      <c r="A138" s="13" t="s">
        <v>12</v>
      </c>
      <c r="B138" s="15">
        <v>44916</v>
      </c>
      <c r="C138" s="6">
        <v>0.48936170212765956</v>
      </c>
      <c r="D138" s="15">
        <v>44893</v>
      </c>
      <c r="E138" s="6">
        <v>0.51428571428571423</v>
      </c>
      <c r="F138" s="13">
        <v>18</v>
      </c>
      <c r="G138" s="13">
        <v>35</v>
      </c>
    </row>
    <row r="139" spans="1:7" x14ac:dyDescent="0.25">
      <c r="A139" s="13" t="s">
        <v>23</v>
      </c>
      <c r="B139" s="15">
        <v>44916</v>
      </c>
      <c r="C139" s="6">
        <v>0.42307692307692307</v>
      </c>
      <c r="D139" s="15">
        <v>44893</v>
      </c>
      <c r="E139" s="6">
        <v>0.42105263157894735</v>
      </c>
      <c r="F139" s="13">
        <v>8</v>
      </c>
      <c r="G139" s="13">
        <v>19</v>
      </c>
    </row>
    <row r="140" spans="1:7" x14ac:dyDescent="0.25">
      <c r="A140" s="13" t="s">
        <v>11</v>
      </c>
      <c r="B140" s="15">
        <v>44916</v>
      </c>
      <c r="C140" s="6">
        <v>0.58333333333333337</v>
      </c>
      <c r="D140" s="15">
        <v>44893</v>
      </c>
      <c r="E140" s="6">
        <v>0.53333333333333333</v>
      </c>
      <c r="F140" s="13">
        <v>8</v>
      </c>
      <c r="G140" s="13">
        <v>15</v>
      </c>
    </row>
    <row r="141" spans="1:7" x14ac:dyDescent="0.25">
      <c r="A141" s="13" t="s">
        <v>9</v>
      </c>
      <c r="B141" s="15">
        <v>44916</v>
      </c>
      <c r="C141" s="6">
        <v>0.33333333333333331</v>
      </c>
      <c r="D141" s="15">
        <v>44893</v>
      </c>
      <c r="E141" s="6">
        <v>0.46666666666666667</v>
      </c>
      <c r="F141" s="13">
        <v>7</v>
      </c>
      <c r="G141" s="13">
        <v>15</v>
      </c>
    </row>
    <row r="142" spans="1:7" x14ac:dyDescent="0.25">
      <c r="A142" s="13" t="s">
        <v>24</v>
      </c>
      <c r="B142" s="15">
        <v>44916</v>
      </c>
      <c r="C142" s="6">
        <v>0.36842105263157893</v>
      </c>
      <c r="D142" s="15">
        <v>44893</v>
      </c>
      <c r="E142" s="6">
        <v>0.36842105263157893</v>
      </c>
      <c r="F142" s="13">
        <v>7</v>
      </c>
      <c r="G142" s="13">
        <v>19</v>
      </c>
    </row>
    <row r="143" spans="1:7" x14ac:dyDescent="0.25">
      <c r="A143" s="13" t="s">
        <v>26</v>
      </c>
      <c r="B143" s="15">
        <v>44916</v>
      </c>
      <c r="C143" s="6">
        <v>0.42857142857142855</v>
      </c>
      <c r="D143" s="15">
        <v>44893</v>
      </c>
      <c r="E143" s="6">
        <v>0.42857142857142855</v>
      </c>
      <c r="F143" s="13">
        <v>3</v>
      </c>
      <c r="G143" s="13">
        <v>7</v>
      </c>
    </row>
    <row r="144" spans="1:7" x14ac:dyDescent="0.25">
      <c r="A144" s="13" t="s">
        <v>7</v>
      </c>
      <c r="B144" s="15">
        <v>44916</v>
      </c>
      <c r="C144" s="6">
        <v>0.71875</v>
      </c>
      <c r="D144" s="15">
        <v>44893</v>
      </c>
      <c r="E144" s="6">
        <v>0.83333333333333337</v>
      </c>
      <c r="F144" s="13">
        <v>15</v>
      </c>
      <c r="G144" s="13">
        <v>18</v>
      </c>
    </row>
    <row r="145" spans="1:7" x14ac:dyDescent="0.25">
      <c r="A145" s="13" t="s">
        <v>10</v>
      </c>
      <c r="B145" s="15">
        <v>44916</v>
      </c>
      <c r="C145" s="6">
        <v>0</v>
      </c>
      <c r="D145" s="15">
        <v>44893</v>
      </c>
      <c r="E145" s="6">
        <v>0</v>
      </c>
      <c r="F145" s="13">
        <v>0</v>
      </c>
      <c r="G145" s="13">
        <v>2</v>
      </c>
    </row>
    <row r="146" spans="1:7" x14ac:dyDescent="0.25">
      <c r="A146" s="13" t="s">
        <v>3</v>
      </c>
      <c r="B146" s="15">
        <v>44916</v>
      </c>
      <c r="C146" s="6">
        <v>0.55813953488372092</v>
      </c>
      <c r="D146" s="15">
        <v>44900</v>
      </c>
      <c r="E146" s="6">
        <v>0.59459459459459463</v>
      </c>
      <c r="F146" s="13">
        <v>22</v>
      </c>
      <c r="G146" s="13">
        <v>37</v>
      </c>
    </row>
    <row r="147" spans="1:7" x14ac:dyDescent="0.25">
      <c r="A147" s="13" t="s">
        <v>18</v>
      </c>
      <c r="B147" s="15">
        <v>44916</v>
      </c>
      <c r="C147" s="6">
        <v>0.33333333333333331</v>
      </c>
      <c r="D147" s="15">
        <v>44900</v>
      </c>
      <c r="E147" s="6">
        <v>0.2857142857142857</v>
      </c>
      <c r="F147" s="13">
        <v>2</v>
      </c>
      <c r="G147" s="13">
        <v>7</v>
      </c>
    </row>
    <row r="148" spans="1:7" x14ac:dyDescent="0.25">
      <c r="A148" s="13" t="s">
        <v>16</v>
      </c>
      <c r="B148" s="15">
        <v>44916</v>
      </c>
      <c r="C148" s="6">
        <v>0.43243243243243246</v>
      </c>
      <c r="D148" s="15">
        <v>44900</v>
      </c>
      <c r="E148" s="6">
        <v>0.41935483870967744</v>
      </c>
      <c r="F148" s="13">
        <v>13</v>
      </c>
      <c r="G148" s="13">
        <v>31</v>
      </c>
    </row>
    <row r="149" spans="1:7" x14ac:dyDescent="0.25">
      <c r="A149" s="13" t="s">
        <v>22</v>
      </c>
      <c r="B149" s="15">
        <v>44916</v>
      </c>
      <c r="C149" s="6">
        <v>0.48648648648648651</v>
      </c>
      <c r="D149" s="15">
        <v>44900</v>
      </c>
      <c r="E149" s="6">
        <v>0.5</v>
      </c>
      <c r="F149" s="13">
        <v>16</v>
      </c>
      <c r="G149" s="13">
        <v>32</v>
      </c>
    </row>
    <row r="150" spans="1:7" x14ac:dyDescent="0.25">
      <c r="A150" s="13" t="s">
        <v>4</v>
      </c>
      <c r="B150" s="15">
        <v>44916</v>
      </c>
      <c r="C150" s="6">
        <v>0.5957446808510638</v>
      </c>
      <c r="D150" s="15">
        <v>44900</v>
      </c>
      <c r="E150" s="6">
        <v>0.58536585365853655</v>
      </c>
      <c r="F150" s="13">
        <v>24</v>
      </c>
      <c r="G150" s="13">
        <v>41</v>
      </c>
    </row>
    <row r="151" spans="1:7" x14ac:dyDescent="0.25">
      <c r="A151" s="13" t="s">
        <v>6</v>
      </c>
      <c r="B151" s="15">
        <v>44916</v>
      </c>
      <c r="C151" s="6">
        <v>0.57499999999999996</v>
      </c>
      <c r="D151" s="15">
        <v>44900</v>
      </c>
      <c r="E151" s="6">
        <v>0.55555555555555558</v>
      </c>
      <c r="F151" s="13">
        <v>20</v>
      </c>
      <c r="G151" s="13">
        <v>36</v>
      </c>
    </row>
    <row r="152" spans="1:7" x14ac:dyDescent="0.25">
      <c r="A152" s="13" t="s">
        <v>5</v>
      </c>
      <c r="B152" s="15">
        <v>44916</v>
      </c>
      <c r="C152" s="6">
        <v>0.51063829787234039</v>
      </c>
      <c r="D152" s="15">
        <v>44900</v>
      </c>
      <c r="E152" s="6">
        <v>0.51219512195121952</v>
      </c>
      <c r="F152" s="13">
        <v>21</v>
      </c>
      <c r="G152" s="13">
        <v>41</v>
      </c>
    </row>
    <row r="153" spans="1:7" x14ac:dyDescent="0.25">
      <c r="A153" s="13" t="s">
        <v>8</v>
      </c>
      <c r="B153" s="15">
        <v>44916</v>
      </c>
      <c r="C153" s="6">
        <v>0.46666666666666667</v>
      </c>
      <c r="D153" s="15">
        <v>44900</v>
      </c>
      <c r="E153" s="6">
        <v>0.40740740740740738</v>
      </c>
      <c r="F153" s="13">
        <v>11</v>
      </c>
      <c r="G153" s="13">
        <v>27</v>
      </c>
    </row>
    <row r="154" spans="1:7" x14ac:dyDescent="0.25">
      <c r="A154" s="13" t="s">
        <v>12</v>
      </c>
      <c r="B154" s="15">
        <v>44916</v>
      </c>
      <c r="C154" s="6">
        <v>0.48936170212765956</v>
      </c>
      <c r="D154" s="15">
        <v>44900</v>
      </c>
      <c r="E154" s="6">
        <v>0.51219512195121952</v>
      </c>
      <c r="F154" s="13">
        <v>21</v>
      </c>
      <c r="G154" s="13">
        <v>41</v>
      </c>
    </row>
    <row r="155" spans="1:7" x14ac:dyDescent="0.25">
      <c r="A155" s="13" t="s">
        <v>23</v>
      </c>
      <c r="B155" s="15">
        <v>44916</v>
      </c>
      <c r="C155" s="6">
        <v>0.42307692307692307</v>
      </c>
      <c r="D155" s="15">
        <v>44900</v>
      </c>
      <c r="E155" s="6">
        <v>0.39130434782608697</v>
      </c>
      <c r="F155" s="13">
        <v>9</v>
      </c>
      <c r="G155" s="13">
        <v>23</v>
      </c>
    </row>
    <row r="156" spans="1:7" x14ac:dyDescent="0.25">
      <c r="A156" s="13" t="s">
        <v>11</v>
      </c>
      <c r="B156" s="15">
        <v>44916</v>
      </c>
      <c r="C156" s="6">
        <v>0.58333333333333337</v>
      </c>
      <c r="D156" s="15">
        <v>44900</v>
      </c>
      <c r="E156" s="6">
        <v>0.5</v>
      </c>
      <c r="F156" s="13">
        <v>10</v>
      </c>
      <c r="G156" s="13">
        <v>20</v>
      </c>
    </row>
    <row r="157" spans="1:7" x14ac:dyDescent="0.25">
      <c r="A157" s="13" t="s">
        <v>9</v>
      </c>
      <c r="B157" s="15">
        <v>44916</v>
      </c>
      <c r="C157" s="6">
        <v>0.33333333333333331</v>
      </c>
      <c r="D157" s="15">
        <v>44900</v>
      </c>
      <c r="E157" s="6">
        <v>0.36363636363636365</v>
      </c>
      <c r="F157" s="13">
        <v>8</v>
      </c>
      <c r="G157" s="13">
        <v>22</v>
      </c>
    </row>
    <row r="158" spans="1:7" x14ac:dyDescent="0.25">
      <c r="A158" s="13" t="s">
        <v>24</v>
      </c>
      <c r="B158" s="15">
        <v>44916</v>
      </c>
      <c r="C158" s="6">
        <v>0.36842105263157893</v>
      </c>
      <c r="D158" s="15">
        <v>44900</v>
      </c>
      <c r="E158" s="6">
        <v>0.36842105263157893</v>
      </c>
      <c r="F158" s="13">
        <v>7</v>
      </c>
      <c r="G158" s="13">
        <v>19</v>
      </c>
    </row>
    <row r="159" spans="1:7" x14ac:dyDescent="0.25">
      <c r="A159" s="13" t="s">
        <v>26</v>
      </c>
      <c r="B159" s="15">
        <v>44916</v>
      </c>
      <c r="C159" s="6">
        <v>0.42857142857142855</v>
      </c>
      <c r="D159" s="15">
        <v>44900</v>
      </c>
      <c r="E159" s="6">
        <v>0.42857142857142855</v>
      </c>
      <c r="F159" s="13">
        <v>3</v>
      </c>
      <c r="G159" s="13">
        <v>7</v>
      </c>
    </row>
    <row r="160" spans="1:7" x14ac:dyDescent="0.25">
      <c r="A160" s="13" t="s">
        <v>7</v>
      </c>
      <c r="B160" s="15">
        <v>44916</v>
      </c>
      <c r="C160" s="6">
        <v>0.71875</v>
      </c>
      <c r="D160" s="15">
        <v>44900</v>
      </c>
      <c r="E160" s="6">
        <v>0.84615384615384615</v>
      </c>
      <c r="F160" s="13">
        <v>22</v>
      </c>
      <c r="G160" s="13">
        <v>26</v>
      </c>
    </row>
    <row r="161" spans="1:7" x14ac:dyDescent="0.25">
      <c r="A161" s="13" t="s">
        <v>10</v>
      </c>
      <c r="B161" s="15">
        <v>44916</v>
      </c>
      <c r="C161" s="6">
        <v>0</v>
      </c>
      <c r="D161" s="15">
        <v>44900</v>
      </c>
      <c r="E161" s="6">
        <v>0</v>
      </c>
      <c r="F161" s="13">
        <v>0</v>
      </c>
      <c r="G161" s="13">
        <v>4</v>
      </c>
    </row>
    <row r="162" spans="1:7" x14ac:dyDescent="0.25">
      <c r="A162" s="13" t="s">
        <v>3</v>
      </c>
      <c r="B162" s="15">
        <v>44916</v>
      </c>
      <c r="C162" s="6">
        <v>0.55813953488372092</v>
      </c>
      <c r="D162" s="15">
        <v>44907</v>
      </c>
      <c r="E162" s="6">
        <v>0.56097560975609762</v>
      </c>
      <c r="F162" s="13">
        <v>23</v>
      </c>
      <c r="G162" s="13">
        <v>41</v>
      </c>
    </row>
    <row r="163" spans="1:7" x14ac:dyDescent="0.25">
      <c r="A163" s="13" t="s">
        <v>18</v>
      </c>
      <c r="B163" s="15">
        <v>44916</v>
      </c>
      <c r="C163" s="6">
        <v>0.33333333333333331</v>
      </c>
      <c r="D163" s="15">
        <v>44907</v>
      </c>
      <c r="E163" s="6">
        <v>0.33333333333333331</v>
      </c>
      <c r="F163" s="13">
        <v>3</v>
      </c>
      <c r="G163" s="13">
        <v>9</v>
      </c>
    </row>
    <row r="164" spans="1:7" x14ac:dyDescent="0.25">
      <c r="A164" s="13" t="s">
        <v>16</v>
      </c>
      <c r="B164" s="15">
        <v>44916</v>
      </c>
      <c r="C164" s="6">
        <v>0.43243243243243246</v>
      </c>
      <c r="D164" s="15">
        <v>44907</v>
      </c>
      <c r="E164" s="6">
        <v>0.4</v>
      </c>
      <c r="F164" s="13">
        <v>14</v>
      </c>
      <c r="G164" s="13">
        <v>35</v>
      </c>
    </row>
    <row r="165" spans="1:7" x14ac:dyDescent="0.25">
      <c r="A165" s="13" t="s">
        <v>22</v>
      </c>
      <c r="B165" s="15">
        <v>44916</v>
      </c>
      <c r="C165" s="6">
        <v>0.48648648648648651</v>
      </c>
      <c r="D165" s="15">
        <v>44907</v>
      </c>
      <c r="E165" s="6">
        <v>0.48571428571428571</v>
      </c>
      <c r="F165" s="13">
        <v>17</v>
      </c>
      <c r="G165" s="13">
        <v>35</v>
      </c>
    </row>
    <row r="166" spans="1:7" x14ac:dyDescent="0.25">
      <c r="A166" s="13" t="s">
        <v>4</v>
      </c>
      <c r="B166" s="15">
        <v>44916</v>
      </c>
      <c r="C166" s="6">
        <v>0.5957446808510638</v>
      </c>
      <c r="D166" s="15">
        <v>44907</v>
      </c>
      <c r="E166" s="6">
        <v>0.6</v>
      </c>
      <c r="F166" s="13">
        <v>27</v>
      </c>
      <c r="G166" s="13">
        <v>45</v>
      </c>
    </row>
    <row r="167" spans="1:7" x14ac:dyDescent="0.25">
      <c r="A167" s="13" t="s">
        <v>6</v>
      </c>
      <c r="B167" s="15">
        <v>44916</v>
      </c>
      <c r="C167" s="6">
        <v>0.57499999999999996</v>
      </c>
      <c r="D167" s="15">
        <v>44907</v>
      </c>
      <c r="E167" s="6">
        <v>0.57894736842105265</v>
      </c>
      <c r="F167" s="13">
        <v>22</v>
      </c>
      <c r="G167" s="13">
        <v>38</v>
      </c>
    </row>
    <row r="168" spans="1:7" x14ac:dyDescent="0.25">
      <c r="A168" s="13" t="s">
        <v>5</v>
      </c>
      <c r="B168" s="15">
        <v>44916</v>
      </c>
      <c r="C168" s="6">
        <v>0.51063829787234039</v>
      </c>
      <c r="D168" s="15">
        <v>44907</v>
      </c>
      <c r="E168" s="6">
        <v>0.51111111111111107</v>
      </c>
      <c r="F168" s="13">
        <v>23</v>
      </c>
      <c r="G168" s="13">
        <v>45</v>
      </c>
    </row>
    <row r="169" spans="1:7" x14ac:dyDescent="0.25">
      <c r="A169" s="13" t="s">
        <v>8</v>
      </c>
      <c r="B169" s="15">
        <v>44916</v>
      </c>
      <c r="C169" s="6">
        <v>0.46666666666666667</v>
      </c>
      <c r="D169" s="15">
        <v>44907</v>
      </c>
      <c r="E169" s="6">
        <v>0.46666666666666667</v>
      </c>
      <c r="F169" s="13">
        <v>14</v>
      </c>
      <c r="G169" s="13">
        <v>30</v>
      </c>
    </row>
    <row r="170" spans="1:7" x14ac:dyDescent="0.25">
      <c r="A170" s="13" t="s">
        <v>12</v>
      </c>
      <c r="B170" s="15">
        <v>44916</v>
      </c>
      <c r="C170" s="6">
        <v>0.48936170212765956</v>
      </c>
      <c r="D170" s="15">
        <v>44907</v>
      </c>
      <c r="E170" s="6">
        <v>0.51111111111111107</v>
      </c>
      <c r="F170" s="13">
        <v>23</v>
      </c>
      <c r="G170" s="13">
        <v>45</v>
      </c>
    </row>
    <row r="171" spans="1:7" x14ac:dyDescent="0.25">
      <c r="A171" s="13" t="s">
        <v>23</v>
      </c>
      <c r="B171" s="15">
        <v>44916</v>
      </c>
      <c r="C171" s="6">
        <v>0.42307692307692307</v>
      </c>
      <c r="D171" s="15">
        <v>44907</v>
      </c>
      <c r="E171" s="6">
        <v>0.4</v>
      </c>
      <c r="F171" s="13">
        <v>10</v>
      </c>
      <c r="G171" s="13">
        <v>25</v>
      </c>
    </row>
    <row r="172" spans="1:7" x14ac:dyDescent="0.25">
      <c r="A172" s="13" t="s">
        <v>11</v>
      </c>
      <c r="B172" s="15">
        <v>44916</v>
      </c>
      <c r="C172" s="6">
        <v>0.58333333333333337</v>
      </c>
      <c r="D172" s="15">
        <v>44907</v>
      </c>
      <c r="E172" s="6">
        <v>0.54545454545454541</v>
      </c>
      <c r="F172" s="13">
        <v>12</v>
      </c>
      <c r="G172" s="13">
        <v>22</v>
      </c>
    </row>
    <row r="173" spans="1:7" x14ac:dyDescent="0.25">
      <c r="A173" s="13" t="s">
        <v>9</v>
      </c>
      <c r="B173" s="15">
        <v>44916</v>
      </c>
      <c r="C173" s="6">
        <v>0.33333333333333331</v>
      </c>
      <c r="D173" s="15">
        <v>44907</v>
      </c>
      <c r="E173" s="6">
        <v>0.33333333333333331</v>
      </c>
      <c r="F173" s="13">
        <v>8</v>
      </c>
      <c r="G173" s="13">
        <v>24</v>
      </c>
    </row>
    <row r="174" spans="1:7" x14ac:dyDescent="0.25">
      <c r="A174" s="13" t="s">
        <v>24</v>
      </c>
      <c r="B174" s="15">
        <v>44916</v>
      </c>
      <c r="C174" s="6">
        <v>0.36842105263157893</v>
      </c>
      <c r="D174" s="15">
        <v>44907</v>
      </c>
      <c r="E174" s="6">
        <v>0.36842105263157893</v>
      </c>
      <c r="F174" s="13">
        <v>7</v>
      </c>
      <c r="G174" s="13">
        <v>19</v>
      </c>
    </row>
    <row r="175" spans="1:7" x14ac:dyDescent="0.25">
      <c r="A175" s="13" t="s">
        <v>26</v>
      </c>
      <c r="B175" s="15">
        <v>44916</v>
      </c>
      <c r="C175" s="6">
        <v>0.42857142857142855</v>
      </c>
      <c r="D175" s="15">
        <v>44907</v>
      </c>
      <c r="E175" s="6">
        <v>0.42857142857142855</v>
      </c>
      <c r="F175" s="13">
        <v>3</v>
      </c>
      <c r="G175" s="13">
        <v>7</v>
      </c>
    </row>
    <row r="176" spans="1:7" x14ac:dyDescent="0.25">
      <c r="A176" s="13" t="s">
        <v>7</v>
      </c>
      <c r="B176" s="15">
        <v>44916</v>
      </c>
      <c r="C176" s="6">
        <v>0.71875</v>
      </c>
      <c r="D176" s="15">
        <v>44907</v>
      </c>
      <c r="E176" s="6">
        <v>0.76666666666666672</v>
      </c>
      <c r="F176" s="13">
        <v>23</v>
      </c>
      <c r="G176" s="13">
        <v>30</v>
      </c>
    </row>
    <row r="177" spans="1:7" x14ac:dyDescent="0.25">
      <c r="A177" s="13" t="s">
        <v>10</v>
      </c>
      <c r="B177" s="15">
        <v>44916</v>
      </c>
      <c r="C177" s="6">
        <v>0</v>
      </c>
      <c r="D177" s="15">
        <v>44907</v>
      </c>
      <c r="E177" s="6">
        <v>0</v>
      </c>
      <c r="F177" s="13">
        <v>0</v>
      </c>
      <c r="G177" s="13">
        <v>4</v>
      </c>
    </row>
    <row r="178" spans="1:7" x14ac:dyDescent="0.25">
      <c r="A178" s="13" t="s">
        <v>3</v>
      </c>
      <c r="B178" s="15">
        <v>44916</v>
      </c>
      <c r="C178" s="6">
        <v>0.55813953488372092</v>
      </c>
      <c r="D178" s="15">
        <v>44914</v>
      </c>
      <c r="E178" s="6">
        <v>0.55813953488372092</v>
      </c>
      <c r="F178" s="13">
        <v>24</v>
      </c>
      <c r="G178" s="13">
        <v>43</v>
      </c>
    </row>
    <row r="179" spans="1:7" x14ac:dyDescent="0.25">
      <c r="A179" s="13" t="s">
        <v>18</v>
      </c>
      <c r="B179" s="15">
        <v>44916</v>
      </c>
      <c r="C179" s="6">
        <v>0.33333333333333331</v>
      </c>
      <c r="D179" s="15">
        <v>44914</v>
      </c>
      <c r="E179" s="6">
        <v>0.33333333333333331</v>
      </c>
      <c r="F179" s="13">
        <v>3</v>
      </c>
      <c r="G179" s="13">
        <v>9</v>
      </c>
    </row>
    <row r="180" spans="1:7" x14ac:dyDescent="0.25">
      <c r="A180" s="13" t="s">
        <v>16</v>
      </c>
      <c r="B180" s="15">
        <v>44916</v>
      </c>
      <c r="C180" s="6">
        <v>0.43243243243243246</v>
      </c>
      <c r="D180" s="15">
        <v>44914</v>
      </c>
      <c r="E180" s="6">
        <v>0.43243243243243246</v>
      </c>
      <c r="F180" s="13">
        <v>16</v>
      </c>
      <c r="G180" s="13">
        <v>37</v>
      </c>
    </row>
    <row r="181" spans="1:7" x14ac:dyDescent="0.25">
      <c r="A181" s="13" t="s">
        <v>22</v>
      </c>
      <c r="B181" s="15">
        <v>44916</v>
      </c>
      <c r="C181" s="6">
        <v>0.48648648648648651</v>
      </c>
      <c r="D181" s="15">
        <v>44914</v>
      </c>
      <c r="E181" s="6">
        <v>0.48648648648648651</v>
      </c>
      <c r="F181" s="13">
        <v>18</v>
      </c>
      <c r="G181" s="13">
        <v>37</v>
      </c>
    </row>
    <row r="182" spans="1:7" x14ac:dyDescent="0.25">
      <c r="A182" s="13" t="s">
        <v>4</v>
      </c>
      <c r="B182" s="15">
        <v>44916</v>
      </c>
      <c r="C182" s="6">
        <v>0.5957446808510638</v>
      </c>
      <c r="D182" s="15">
        <v>44914</v>
      </c>
      <c r="E182" s="6">
        <v>0.5957446808510638</v>
      </c>
      <c r="F182" s="13">
        <v>28</v>
      </c>
      <c r="G182" s="13">
        <v>47</v>
      </c>
    </row>
    <row r="183" spans="1:7" x14ac:dyDescent="0.25">
      <c r="A183" s="13" t="s">
        <v>6</v>
      </c>
      <c r="B183" s="15">
        <v>44916</v>
      </c>
      <c r="C183" s="6">
        <v>0.57499999999999996</v>
      </c>
      <c r="D183" s="15">
        <v>44914</v>
      </c>
      <c r="E183" s="6">
        <v>0.57499999999999996</v>
      </c>
      <c r="F183" s="13">
        <v>23</v>
      </c>
      <c r="G183" s="13">
        <v>40</v>
      </c>
    </row>
    <row r="184" spans="1:7" x14ac:dyDescent="0.25">
      <c r="A184" s="13" t="s">
        <v>5</v>
      </c>
      <c r="B184" s="15">
        <v>44916</v>
      </c>
      <c r="C184" s="6">
        <v>0.51063829787234039</v>
      </c>
      <c r="D184" s="15">
        <v>44914</v>
      </c>
      <c r="E184" s="6">
        <v>0.51063829787234039</v>
      </c>
      <c r="F184" s="13">
        <v>24</v>
      </c>
      <c r="G184" s="13">
        <v>47</v>
      </c>
    </row>
    <row r="185" spans="1:7" x14ac:dyDescent="0.25">
      <c r="A185" s="13" t="s">
        <v>8</v>
      </c>
      <c r="B185" s="15">
        <v>44916</v>
      </c>
      <c r="C185" s="6">
        <v>0.46666666666666667</v>
      </c>
      <c r="D185" s="15">
        <v>44914</v>
      </c>
      <c r="E185" s="6">
        <v>0.46666666666666667</v>
      </c>
      <c r="F185" s="13">
        <v>14</v>
      </c>
      <c r="G185" s="13">
        <v>30</v>
      </c>
    </row>
    <row r="186" spans="1:7" x14ac:dyDescent="0.25">
      <c r="A186" s="13" t="s">
        <v>12</v>
      </c>
      <c r="B186" s="15">
        <v>44916</v>
      </c>
      <c r="C186" s="6">
        <v>0.48936170212765956</v>
      </c>
      <c r="D186" s="15">
        <v>44914</v>
      </c>
      <c r="E186" s="6">
        <v>0.48936170212765956</v>
      </c>
      <c r="F186" s="13">
        <v>23</v>
      </c>
      <c r="G186" s="13">
        <v>47</v>
      </c>
    </row>
    <row r="187" spans="1:7" x14ac:dyDescent="0.25">
      <c r="A187" s="13" t="s">
        <v>23</v>
      </c>
      <c r="B187" s="15">
        <v>44916</v>
      </c>
      <c r="C187" s="6">
        <v>0.42307692307692307</v>
      </c>
      <c r="D187" s="15">
        <v>44914</v>
      </c>
      <c r="E187" s="6">
        <v>0.42307692307692307</v>
      </c>
      <c r="F187" s="13">
        <v>11</v>
      </c>
      <c r="G187" s="13">
        <v>26</v>
      </c>
    </row>
    <row r="188" spans="1:7" x14ac:dyDescent="0.25">
      <c r="A188" s="13" t="s">
        <v>11</v>
      </c>
      <c r="B188" s="15">
        <v>44916</v>
      </c>
      <c r="C188" s="6">
        <v>0.58333333333333337</v>
      </c>
      <c r="D188" s="15">
        <v>44914</v>
      </c>
      <c r="E188" s="6">
        <v>0.58333333333333337</v>
      </c>
      <c r="F188" s="13">
        <v>14</v>
      </c>
      <c r="G188" s="13">
        <v>24</v>
      </c>
    </row>
    <row r="189" spans="1:7" x14ac:dyDescent="0.25">
      <c r="A189" s="13" t="s">
        <v>9</v>
      </c>
      <c r="B189" s="15">
        <v>44916</v>
      </c>
      <c r="C189" s="6">
        <v>0.33333333333333331</v>
      </c>
      <c r="D189" s="15">
        <v>44914</v>
      </c>
      <c r="E189" s="6">
        <v>0.33333333333333331</v>
      </c>
      <c r="F189" s="13">
        <v>8</v>
      </c>
      <c r="G189" s="13">
        <v>24</v>
      </c>
    </row>
    <row r="190" spans="1:7" x14ac:dyDescent="0.25">
      <c r="A190" s="13" t="s">
        <v>24</v>
      </c>
      <c r="B190" s="15">
        <v>44916</v>
      </c>
      <c r="C190" s="6">
        <v>0.36842105263157893</v>
      </c>
      <c r="D190" s="15">
        <v>44914</v>
      </c>
      <c r="E190" s="6">
        <v>0.36842105263157893</v>
      </c>
      <c r="F190" s="13">
        <v>7</v>
      </c>
      <c r="G190" s="13">
        <v>19</v>
      </c>
    </row>
    <row r="191" spans="1:7" x14ac:dyDescent="0.25">
      <c r="A191" s="13" t="s">
        <v>26</v>
      </c>
      <c r="B191" s="15">
        <v>44916</v>
      </c>
      <c r="C191" s="6">
        <v>0.42857142857142855</v>
      </c>
      <c r="D191" s="15">
        <v>44914</v>
      </c>
      <c r="E191" s="6">
        <v>0.42857142857142855</v>
      </c>
      <c r="F191" s="13">
        <v>3</v>
      </c>
      <c r="G191" s="13">
        <v>7</v>
      </c>
    </row>
    <row r="192" spans="1:7" x14ac:dyDescent="0.25">
      <c r="A192" s="13" t="s">
        <v>7</v>
      </c>
      <c r="B192" s="15">
        <v>44916</v>
      </c>
      <c r="C192" s="6">
        <v>0.71875</v>
      </c>
      <c r="D192" s="15">
        <v>44914</v>
      </c>
      <c r="E192" s="6">
        <v>0.71875</v>
      </c>
      <c r="F192" s="13">
        <v>23</v>
      </c>
      <c r="G192" s="13">
        <v>32</v>
      </c>
    </row>
    <row r="193" spans="1:7" x14ac:dyDescent="0.25">
      <c r="A193" s="13" t="s">
        <v>10</v>
      </c>
      <c r="B193" s="15">
        <v>44916</v>
      </c>
      <c r="C193" s="6">
        <v>0</v>
      </c>
      <c r="D193" s="15">
        <v>44914</v>
      </c>
      <c r="E193" s="6">
        <v>0</v>
      </c>
      <c r="F193" s="13">
        <v>0</v>
      </c>
      <c r="G193" s="13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9" t="s">
        <v>1</v>
      </c>
      <c r="B1" s="19" t="s">
        <v>160</v>
      </c>
      <c r="C1" s="19" t="s">
        <v>27</v>
      </c>
      <c r="D1" s="20" t="s">
        <v>133</v>
      </c>
      <c r="E1" s="19" t="s">
        <v>161</v>
      </c>
      <c r="F1" s="19" t="s">
        <v>162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5</v>
      </c>
      <c r="C50" t="s">
        <v>3</v>
      </c>
      <c r="D50" s="6">
        <v>0.25</v>
      </c>
      <c r="E50">
        <v>1</v>
      </c>
      <c r="F50">
        <v>4</v>
      </c>
    </row>
    <row r="51" spans="1:6" x14ac:dyDescent="0.25">
      <c r="A51" t="s">
        <v>25</v>
      </c>
      <c r="B51">
        <v>5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5</v>
      </c>
      <c r="C52" t="s">
        <v>16</v>
      </c>
      <c r="D52" s="6">
        <v>0.2</v>
      </c>
      <c r="E52">
        <v>1</v>
      </c>
      <c r="F52">
        <v>5</v>
      </c>
    </row>
    <row r="53" spans="1:6" x14ac:dyDescent="0.25">
      <c r="A53" t="s">
        <v>25</v>
      </c>
      <c r="B53">
        <v>5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5</v>
      </c>
      <c r="C54" t="s">
        <v>4</v>
      </c>
      <c r="D54" s="6">
        <v>0.6</v>
      </c>
      <c r="E54">
        <v>3</v>
      </c>
      <c r="F54">
        <v>5</v>
      </c>
    </row>
    <row r="55" spans="1:6" x14ac:dyDescent="0.25">
      <c r="A55" t="s">
        <v>25</v>
      </c>
      <c r="B55">
        <v>5</v>
      </c>
      <c r="C55" t="s">
        <v>6</v>
      </c>
      <c r="D55" s="6">
        <v>1</v>
      </c>
      <c r="E55">
        <v>3</v>
      </c>
      <c r="F55">
        <v>3</v>
      </c>
    </row>
    <row r="56" spans="1:6" x14ac:dyDescent="0.25">
      <c r="A56" t="s">
        <v>25</v>
      </c>
      <c r="B56">
        <v>5</v>
      </c>
      <c r="C56" t="s">
        <v>5</v>
      </c>
      <c r="D56" s="6">
        <v>0.4</v>
      </c>
      <c r="E56">
        <v>2</v>
      </c>
      <c r="F56">
        <v>5</v>
      </c>
    </row>
    <row r="57" spans="1:6" x14ac:dyDescent="0.25">
      <c r="A57" t="s">
        <v>25</v>
      </c>
      <c r="B57">
        <v>5</v>
      </c>
      <c r="C57" t="s">
        <v>8</v>
      </c>
      <c r="D57" s="6">
        <v>0.6</v>
      </c>
      <c r="E57">
        <v>3</v>
      </c>
      <c r="F57">
        <v>5</v>
      </c>
    </row>
    <row r="58" spans="1:6" x14ac:dyDescent="0.25">
      <c r="A58" t="s">
        <v>25</v>
      </c>
      <c r="B58">
        <v>5</v>
      </c>
      <c r="C58" t="s">
        <v>12</v>
      </c>
      <c r="D58" s="6">
        <v>0.4</v>
      </c>
      <c r="E58">
        <v>2</v>
      </c>
      <c r="F58">
        <v>5</v>
      </c>
    </row>
    <row r="59" spans="1:6" x14ac:dyDescent="0.25">
      <c r="A59" t="s">
        <v>25</v>
      </c>
      <c r="B59">
        <v>5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5</v>
      </c>
      <c r="C60" t="s">
        <v>11</v>
      </c>
      <c r="D60" s="6">
        <v>1</v>
      </c>
      <c r="E60">
        <v>1</v>
      </c>
      <c r="F60">
        <v>1</v>
      </c>
    </row>
    <row r="61" spans="1:6" x14ac:dyDescent="0.25">
      <c r="A61" t="s">
        <v>25</v>
      </c>
      <c r="B61">
        <v>5</v>
      </c>
      <c r="C61" t="s">
        <v>9</v>
      </c>
      <c r="D61" s="6">
        <v>0.33333333333333331</v>
      </c>
      <c r="E61">
        <v>1</v>
      </c>
      <c r="F61">
        <v>3</v>
      </c>
    </row>
    <row r="62" spans="1:6" x14ac:dyDescent="0.25">
      <c r="A62" t="s">
        <v>25</v>
      </c>
      <c r="B62">
        <v>5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5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5</v>
      </c>
      <c r="C64" t="s">
        <v>7</v>
      </c>
      <c r="D64" s="6">
        <v>0.33333333333333331</v>
      </c>
      <c r="E64">
        <v>1</v>
      </c>
      <c r="F64">
        <v>3</v>
      </c>
    </row>
    <row r="65" spans="1:6" x14ac:dyDescent="0.25">
      <c r="A65" t="s">
        <v>25</v>
      </c>
      <c r="B65">
        <v>5</v>
      </c>
      <c r="C65" t="s">
        <v>10</v>
      </c>
    </row>
    <row r="66" spans="1:6" x14ac:dyDescent="0.25">
      <c r="A66" t="s">
        <v>13</v>
      </c>
      <c r="B66">
        <v>5</v>
      </c>
      <c r="C66" t="s">
        <v>3</v>
      </c>
      <c r="D66" s="6">
        <v>0.6</v>
      </c>
      <c r="E66">
        <v>3</v>
      </c>
      <c r="F66">
        <v>5</v>
      </c>
    </row>
    <row r="67" spans="1:6" x14ac:dyDescent="0.25">
      <c r="A67" t="s">
        <v>13</v>
      </c>
      <c r="B67">
        <v>5</v>
      </c>
      <c r="C67" t="s">
        <v>18</v>
      </c>
    </row>
    <row r="68" spans="1:6" x14ac:dyDescent="0.25">
      <c r="A68" t="s">
        <v>13</v>
      </c>
      <c r="B68">
        <v>5</v>
      </c>
      <c r="C68" t="s">
        <v>16</v>
      </c>
      <c r="D68" s="6">
        <v>0.66666666666666663</v>
      </c>
      <c r="E68">
        <v>2</v>
      </c>
      <c r="F68">
        <v>3</v>
      </c>
    </row>
    <row r="69" spans="1:6" x14ac:dyDescent="0.25">
      <c r="A69" t="s">
        <v>13</v>
      </c>
      <c r="B69">
        <v>5</v>
      </c>
      <c r="C69" t="s">
        <v>22</v>
      </c>
      <c r="D69" s="6">
        <v>0.66666666666666663</v>
      </c>
      <c r="E69">
        <v>2</v>
      </c>
      <c r="F69">
        <v>3</v>
      </c>
    </row>
    <row r="70" spans="1:6" x14ac:dyDescent="0.25">
      <c r="A70" t="s">
        <v>13</v>
      </c>
      <c r="B70">
        <v>5</v>
      </c>
      <c r="C70" t="s">
        <v>4</v>
      </c>
      <c r="D70" s="6">
        <v>0.6</v>
      </c>
      <c r="E70">
        <v>3</v>
      </c>
      <c r="F70">
        <v>5</v>
      </c>
    </row>
    <row r="71" spans="1:6" x14ac:dyDescent="0.25">
      <c r="A71" t="s">
        <v>13</v>
      </c>
      <c r="B71">
        <v>5</v>
      </c>
      <c r="C71" t="s">
        <v>6</v>
      </c>
      <c r="D71" s="6">
        <v>0.8</v>
      </c>
      <c r="E71">
        <v>4</v>
      </c>
      <c r="F71">
        <v>5</v>
      </c>
    </row>
    <row r="72" spans="1:6" x14ac:dyDescent="0.25">
      <c r="A72" t="s">
        <v>13</v>
      </c>
      <c r="B72">
        <v>5</v>
      </c>
      <c r="C72" t="s">
        <v>5</v>
      </c>
      <c r="D72" s="6">
        <v>0.6</v>
      </c>
      <c r="E72">
        <v>3</v>
      </c>
      <c r="F72">
        <v>5</v>
      </c>
    </row>
    <row r="73" spans="1:6" x14ac:dyDescent="0.25">
      <c r="A73" t="s">
        <v>13</v>
      </c>
      <c r="B73">
        <v>5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5</v>
      </c>
      <c r="C74" t="s">
        <v>12</v>
      </c>
      <c r="D74" s="6">
        <v>0.2</v>
      </c>
      <c r="E74">
        <v>1</v>
      </c>
      <c r="F74">
        <v>5</v>
      </c>
    </row>
    <row r="75" spans="1:6" x14ac:dyDescent="0.25">
      <c r="A75" t="s">
        <v>13</v>
      </c>
      <c r="B75">
        <v>5</v>
      </c>
      <c r="C75" t="s">
        <v>23</v>
      </c>
      <c r="D75" s="6">
        <v>0.5</v>
      </c>
      <c r="E75">
        <v>2</v>
      </c>
      <c r="F75">
        <v>4</v>
      </c>
    </row>
    <row r="76" spans="1:6" x14ac:dyDescent="0.25">
      <c r="A76" t="s">
        <v>13</v>
      </c>
      <c r="B76">
        <v>5</v>
      </c>
      <c r="C76" t="s">
        <v>11</v>
      </c>
      <c r="D76" s="6">
        <v>0.5</v>
      </c>
      <c r="E76">
        <v>2</v>
      </c>
      <c r="F76">
        <v>4</v>
      </c>
    </row>
    <row r="77" spans="1:6" x14ac:dyDescent="0.25">
      <c r="A77" t="s">
        <v>13</v>
      </c>
      <c r="B77">
        <v>5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5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5</v>
      </c>
      <c r="C79" t="s">
        <v>26</v>
      </c>
    </row>
    <row r="80" spans="1:6" x14ac:dyDescent="0.25">
      <c r="A80" t="s">
        <v>13</v>
      </c>
      <c r="B80">
        <v>5</v>
      </c>
      <c r="C80" t="s">
        <v>7</v>
      </c>
      <c r="D80" s="6">
        <v>0.5</v>
      </c>
      <c r="E80">
        <v>2</v>
      </c>
      <c r="F80">
        <v>4</v>
      </c>
    </row>
    <row r="81" spans="1:6" x14ac:dyDescent="0.25">
      <c r="A81" t="s">
        <v>13</v>
      </c>
      <c r="B81">
        <v>5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6</v>
      </c>
      <c r="C82" t="s">
        <v>3</v>
      </c>
      <c r="D82" s="6">
        <v>0.4</v>
      </c>
      <c r="E82">
        <v>2</v>
      </c>
      <c r="F82">
        <v>5</v>
      </c>
    </row>
    <row r="83" spans="1:6" x14ac:dyDescent="0.25">
      <c r="A83" t="s">
        <v>19</v>
      </c>
      <c r="B83">
        <v>6</v>
      </c>
      <c r="C83" t="s">
        <v>18</v>
      </c>
    </row>
    <row r="84" spans="1:6" x14ac:dyDescent="0.25">
      <c r="A84" t="s">
        <v>19</v>
      </c>
      <c r="B84">
        <v>6</v>
      </c>
      <c r="C84" t="s">
        <v>16</v>
      </c>
      <c r="D84" s="6">
        <v>0.25</v>
      </c>
      <c r="E84">
        <v>1</v>
      </c>
      <c r="F84">
        <v>4</v>
      </c>
    </row>
    <row r="85" spans="1:6" x14ac:dyDescent="0.25">
      <c r="A85" t="s">
        <v>19</v>
      </c>
      <c r="B85">
        <v>6</v>
      </c>
      <c r="C85" t="s">
        <v>22</v>
      </c>
      <c r="D85" s="6">
        <v>0.66666666666666663</v>
      </c>
      <c r="E85">
        <v>4</v>
      </c>
      <c r="F85">
        <v>6</v>
      </c>
    </row>
    <row r="86" spans="1:6" x14ac:dyDescent="0.25">
      <c r="A86" t="s">
        <v>19</v>
      </c>
      <c r="B86">
        <v>6</v>
      </c>
      <c r="C86" t="s">
        <v>4</v>
      </c>
      <c r="D86" s="6">
        <v>0.6</v>
      </c>
      <c r="E86">
        <v>3</v>
      </c>
      <c r="F86">
        <v>5</v>
      </c>
    </row>
    <row r="87" spans="1:6" x14ac:dyDescent="0.25">
      <c r="A87" t="s">
        <v>19</v>
      </c>
      <c r="B87">
        <v>6</v>
      </c>
      <c r="C87" t="s">
        <v>6</v>
      </c>
      <c r="D87" s="6">
        <v>0.83333333333333337</v>
      </c>
      <c r="E87">
        <v>5</v>
      </c>
      <c r="F87">
        <v>6</v>
      </c>
    </row>
    <row r="88" spans="1:6" x14ac:dyDescent="0.25">
      <c r="A88" t="s">
        <v>19</v>
      </c>
      <c r="B88">
        <v>6</v>
      </c>
      <c r="C88" t="s">
        <v>5</v>
      </c>
      <c r="D88" s="6">
        <v>0.5</v>
      </c>
      <c r="E88">
        <v>3</v>
      </c>
      <c r="F88">
        <v>6</v>
      </c>
    </row>
    <row r="89" spans="1:6" x14ac:dyDescent="0.25">
      <c r="A89" t="s">
        <v>19</v>
      </c>
      <c r="B89">
        <v>6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6</v>
      </c>
      <c r="C90" t="s">
        <v>12</v>
      </c>
      <c r="D90" s="6">
        <v>0.5</v>
      </c>
      <c r="E90">
        <v>3</v>
      </c>
      <c r="F90">
        <v>6</v>
      </c>
    </row>
    <row r="91" spans="1:6" x14ac:dyDescent="0.25">
      <c r="A91" t="s">
        <v>19</v>
      </c>
      <c r="B91">
        <v>6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6</v>
      </c>
      <c r="C92" t="s">
        <v>11</v>
      </c>
      <c r="D92" s="6">
        <v>1</v>
      </c>
      <c r="E92">
        <v>3</v>
      </c>
      <c r="F92">
        <v>3</v>
      </c>
    </row>
    <row r="93" spans="1:6" x14ac:dyDescent="0.25">
      <c r="A93" t="s">
        <v>19</v>
      </c>
      <c r="B93">
        <v>6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6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6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6</v>
      </c>
      <c r="C96" t="s">
        <v>7</v>
      </c>
      <c r="D96" s="6">
        <v>0.25</v>
      </c>
      <c r="E96">
        <v>1</v>
      </c>
      <c r="F96">
        <v>4</v>
      </c>
    </row>
    <row r="97" spans="1:6" x14ac:dyDescent="0.25">
      <c r="A97" t="s">
        <v>19</v>
      </c>
      <c r="B97">
        <v>6</v>
      </c>
      <c r="C97" t="s">
        <v>10</v>
      </c>
    </row>
    <row r="98" spans="1:6" x14ac:dyDescent="0.25">
      <c r="A98" t="s">
        <v>20</v>
      </c>
      <c r="B98">
        <v>6</v>
      </c>
      <c r="C98" t="s">
        <v>3</v>
      </c>
      <c r="D98" s="6">
        <v>0.66666666666666663</v>
      </c>
      <c r="E98">
        <v>4</v>
      </c>
      <c r="F98">
        <v>6</v>
      </c>
    </row>
    <row r="99" spans="1:6" x14ac:dyDescent="0.25">
      <c r="A99" t="s">
        <v>20</v>
      </c>
      <c r="B99">
        <v>6</v>
      </c>
      <c r="C99" t="s">
        <v>18</v>
      </c>
    </row>
    <row r="100" spans="1:6" x14ac:dyDescent="0.25">
      <c r="A100" t="s">
        <v>20</v>
      </c>
      <c r="B100">
        <v>6</v>
      </c>
      <c r="C100" t="s">
        <v>16</v>
      </c>
      <c r="D100" s="6">
        <v>0.25</v>
      </c>
      <c r="E100">
        <v>1</v>
      </c>
      <c r="F100">
        <v>4</v>
      </c>
    </row>
    <row r="101" spans="1:6" x14ac:dyDescent="0.25">
      <c r="A101" t="s">
        <v>20</v>
      </c>
      <c r="B101">
        <v>6</v>
      </c>
      <c r="C101" t="s">
        <v>22</v>
      </c>
      <c r="D101" s="6">
        <v>0.8</v>
      </c>
      <c r="E101">
        <v>4</v>
      </c>
      <c r="F101">
        <v>5</v>
      </c>
    </row>
    <row r="102" spans="1:6" x14ac:dyDescent="0.25">
      <c r="A102" t="s">
        <v>20</v>
      </c>
      <c r="B102">
        <v>6</v>
      </c>
      <c r="C102" t="s">
        <v>4</v>
      </c>
      <c r="D102" s="6">
        <v>0.5</v>
      </c>
      <c r="E102">
        <v>3</v>
      </c>
      <c r="F102">
        <v>6</v>
      </c>
    </row>
    <row r="103" spans="1:6" x14ac:dyDescent="0.25">
      <c r="A103" t="s">
        <v>20</v>
      </c>
      <c r="B103">
        <v>6</v>
      </c>
      <c r="C103" t="s">
        <v>6</v>
      </c>
      <c r="D103" s="6">
        <v>0.4</v>
      </c>
      <c r="E103">
        <v>2</v>
      </c>
      <c r="F103">
        <v>5</v>
      </c>
    </row>
    <row r="104" spans="1:6" x14ac:dyDescent="0.25">
      <c r="A104" t="s">
        <v>20</v>
      </c>
      <c r="B104">
        <v>6</v>
      </c>
      <c r="C104" t="s">
        <v>5</v>
      </c>
      <c r="D104" s="6">
        <v>0.4</v>
      </c>
      <c r="E104">
        <v>2</v>
      </c>
      <c r="F104">
        <v>5</v>
      </c>
    </row>
    <row r="105" spans="1:6" x14ac:dyDescent="0.25">
      <c r="A105" t="s">
        <v>20</v>
      </c>
      <c r="B105">
        <v>6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6</v>
      </c>
      <c r="C106" t="s">
        <v>12</v>
      </c>
      <c r="D106" s="6">
        <v>0.83333333333333337</v>
      </c>
      <c r="E106">
        <v>5</v>
      </c>
      <c r="F106">
        <v>6</v>
      </c>
    </row>
    <row r="107" spans="1:6" x14ac:dyDescent="0.25">
      <c r="A107" t="s">
        <v>20</v>
      </c>
      <c r="B107">
        <v>6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6</v>
      </c>
      <c r="C108" t="s">
        <v>11</v>
      </c>
      <c r="D108" s="6">
        <v>1</v>
      </c>
      <c r="E108">
        <v>3</v>
      </c>
      <c r="F108">
        <v>3</v>
      </c>
    </row>
    <row r="109" spans="1:6" x14ac:dyDescent="0.25">
      <c r="A109" t="s">
        <v>20</v>
      </c>
      <c r="B109">
        <v>6</v>
      </c>
      <c r="C109" t="s">
        <v>9</v>
      </c>
      <c r="D109" s="6">
        <v>0.33333333333333331</v>
      </c>
      <c r="E109">
        <v>1</v>
      </c>
      <c r="F109">
        <v>3</v>
      </c>
    </row>
    <row r="110" spans="1:6" x14ac:dyDescent="0.25">
      <c r="A110" t="s">
        <v>20</v>
      </c>
      <c r="B110">
        <v>6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6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6</v>
      </c>
      <c r="C112" t="s">
        <v>7</v>
      </c>
      <c r="D112" s="6">
        <v>1</v>
      </c>
      <c r="E112">
        <v>3</v>
      </c>
      <c r="F112">
        <v>3</v>
      </c>
    </row>
    <row r="113" spans="1:6" x14ac:dyDescent="0.25">
      <c r="A113" t="s">
        <v>20</v>
      </c>
      <c r="B113">
        <v>6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"/>
  <sheetViews>
    <sheetView workbookViewId="0">
      <selection activeCell="E11" sqref="E11"/>
    </sheetView>
  </sheetViews>
  <sheetFormatPr defaultRowHeight="15" x14ac:dyDescent="0.25"/>
  <cols>
    <col min="1" max="1" width="13.28515625" customWidth="1"/>
  </cols>
  <sheetData>
    <row r="1" spans="1:1" x14ac:dyDescent="0.25">
      <c r="A1" s="27">
        <v>44916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Roles</vt:lpstr>
      <vt:lpstr>Teammate Synergy</vt:lpstr>
      <vt:lpstr>Matchups</vt:lpstr>
      <vt:lpstr>Map_old</vt:lpstr>
      <vt:lpstr>Individual_old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2022-12-21T08:57:32Z</dcterms:modified>
</cp:coreProperties>
</file>