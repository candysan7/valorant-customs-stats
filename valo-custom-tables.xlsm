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Lindsey\Downloads\"/>
    </mc:Choice>
  </mc:AlternateContent>
  <bookViews>
    <workbookView xWindow="0" yWindow="0" windowWidth="28800" windowHeight="12585"/>
  </bookViews>
  <sheets>
    <sheet name="Data" sheetId="4" r:id="rId1"/>
    <sheet name="Teammate Synergy" sheetId="3" r:id="rId2"/>
    <sheet name="Matchups" sheetId="6" r:id="rId3"/>
    <sheet name="Map_old" sheetId="5" state="hidden" r:id="rId4"/>
    <sheet name="Individual_old" sheetId="1" state="hidden" r:id="rId5"/>
    <sheet name="Individual Time" sheetId="7" r:id="rId6"/>
    <sheet name="Map" sheetId="9" r:id="rId7"/>
    <sheet name="Last Updated" sheetId="10" r:id="rId8"/>
  </sheets>
  <definedNames>
    <definedName name="_xlnm._FilterDatabase" localSheetId="0" hidden="1">Data!$A$137:$A$137</definedName>
    <definedName name="_xlnm._FilterDatabase" localSheetId="4" hidden="1">#REF!</definedName>
    <definedName name="_xlnm._FilterDatabase" localSheetId="1" hidden="1">'Teammate Synergy'!#REF!</definedName>
  </definedNames>
  <calcPr calcId="15251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249" i="4" l="1"/>
  <c r="E229" i="4"/>
  <c r="Q206" i="4" l="1"/>
  <c r="P206" i="4"/>
  <c r="O206" i="4"/>
  <c r="N206" i="4"/>
  <c r="M206" i="4"/>
  <c r="L206" i="4"/>
  <c r="K206" i="4"/>
  <c r="J206" i="4"/>
  <c r="I206" i="4"/>
  <c r="H206" i="4"/>
  <c r="G206" i="4"/>
  <c r="F206" i="4"/>
  <c r="E206" i="4"/>
  <c r="D206" i="4"/>
  <c r="C206" i="4"/>
  <c r="B206" i="4"/>
  <c r="Q205" i="4"/>
  <c r="P205" i="4"/>
  <c r="O205" i="4"/>
  <c r="N205" i="4"/>
  <c r="M205" i="4"/>
  <c r="L205" i="4"/>
  <c r="K205" i="4"/>
  <c r="J205" i="4"/>
  <c r="I205" i="4"/>
  <c r="H205" i="4"/>
  <c r="G205" i="4"/>
  <c r="F205" i="4"/>
  <c r="E205" i="4"/>
  <c r="D205" i="4"/>
  <c r="C205" i="4"/>
  <c r="B205" i="4"/>
  <c r="Q204" i="4"/>
  <c r="P204" i="4"/>
  <c r="O204" i="4"/>
  <c r="N204" i="4"/>
  <c r="M204" i="4"/>
  <c r="L204" i="4"/>
  <c r="K204" i="4"/>
  <c r="J204" i="4"/>
  <c r="I204" i="4"/>
  <c r="H204" i="4"/>
  <c r="G204" i="4"/>
  <c r="F204" i="4"/>
  <c r="E204" i="4"/>
  <c r="D204" i="4"/>
  <c r="C204" i="4"/>
  <c r="B204" i="4"/>
  <c r="Q203" i="4"/>
  <c r="P203" i="4"/>
  <c r="O203" i="4"/>
  <c r="N203" i="4"/>
  <c r="M203" i="4"/>
  <c r="L203" i="4"/>
  <c r="K203" i="4"/>
  <c r="J203" i="4"/>
  <c r="I203" i="4"/>
  <c r="H203" i="4"/>
  <c r="G203" i="4"/>
  <c r="F203" i="4"/>
  <c r="E203" i="4"/>
  <c r="D203" i="4"/>
  <c r="C203" i="4"/>
  <c r="B203" i="4"/>
  <c r="Q202" i="4"/>
  <c r="P202" i="4"/>
  <c r="O202" i="4"/>
  <c r="N202" i="4"/>
  <c r="M202" i="4"/>
  <c r="L202" i="4"/>
  <c r="K202" i="4"/>
  <c r="J202" i="4"/>
  <c r="I202" i="4"/>
  <c r="H202" i="4"/>
  <c r="G202" i="4"/>
  <c r="F202" i="4"/>
  <c r="E202" i="4"/>
  <c r="D202" i="4"/>
  <c r="C202" i="4"/>
  <c r="B202" i="4"/>
  <c r="Q201" i="4"/>
  <c r="P201" i="4"/>
  <c r="O201" i="4"/>
  <c r="N201" i="4"/>
  <c r="M201" i="4"/>
  <c r="L201" i="4"/>
  <c r="K201" i="4"/>
  <c r="J201" i="4"/>
  <c r="I201" i="4"/>
  <c r="H201" i="4"/>
  <c r="G201" i="4"/>
  <c r="F201" i="4"/>
  <c r="E201" i="4"/>
  <c r="D201" i="4"/>
  <c r="C201" i="4"/>
  <c r="B201" i="4"/>
  <c r="Q200" i="4"/>
  <c r="P200" i="4"/>
  <c r="O200" i="4"/>
  <c r="N200" i="4"/>
  <c r="M200" i="4"/>
  <c r="L200" i="4"/>
  <c r="K200" i="4"/>
  <c r="J200" i="4"/>
  <c r="I200" i="4"/>
  <c r="H200" i="4"/>
  <c r="G200" i="4"/>
  <c r="F200" i="4"/>
  <c r="E200" i="4"/>
  <c r="D200" i="4"/>
  <c r="C200" i="4"/>
  <c r="B200" i="4"/>
  <c r="Q199" i="4"/>
  <c r="P199" i="4"/>
  <c r="O199" i="4"/>
  <c r="N199" i="4"/>
  <c r="M199" i="4"/>
  <c r="L199" i="4"/>
  <c r="K199" i="4"/>
  <c r="J199" i="4"/>
  <c r="I199" i="4"/>
  <c r="H199" i="4"/>
  <c r="G199" i="4"/>
  <c r="F199" i="4"/>
  <c r="E199" i="4"/>
  <c r="D199" i="4"/>
  <c r="C199" i="4"/>
  <c r="B199" i="4"/>
  <c r="Q198" i="4"/>
  <c r="P198" i="4"/>
  <c r="O198" i="4"/>
  <c r="N198" i="4"/>
  <c r="M198" i="4"/>
  <c r="L198" i="4"/>
  <c r="K198" i="4"/>
  <c r="J198" i="4"/>
  <c r="I198" i="4"/>
  <c r="H198" i="4"/>
  <c r="G198" i="4"/>
  <c r="F198" i="4"/>
  <c r="E198" i="4"/>
  <c r="D198" i="4"/>
  <c r="C198" i="4"/>
  <c r="B198" i="4"/>
  <c r="Q197" i="4"/>
  <c r="P197" i="4"/>
  <c r="O197" i="4"/>
  <c r="N197" i="4"/>
  <c r="M197" i="4"/>
  <c r="L197" i="4"/>
  <c r="K197" i="4"/>
  <c r="J197" i="4"/>
  <c r="I197" i="4"/>
  <c r="H197" i="4"/>
  <c r="G197" i="4"/>
  <c r="F197" i="4"/>
  <c r="E197" i="4"/>
  <c r="D197" i="4"/>
  <c r="C197" i="4"/>
  <c r="B197" i="4"/>
  <c r="Q196" i="4"/>
  <c r="P196" i="4"/>
  <c r="O196" i="4"/>
  <c r="N196" i="4"/>
  <c r="M196" i="4"/>
  <c r="L196" i="4"/>
  <c r="K196" i="4"/>
  <c r="J196" i="4"/>
  <c r="I196" i="4"/>
  <c r="H196" i="4"/>
  <c r="G196" i="4"/>
  <c r="F196" i="4"/>
  <c r="E196" i="4"/>
  <c r="D196" i="4"/>
  <c r="C196" i="4"/>
  <c r="B196" i="4"/>
  <c r="Q195" i="4"/>
  <c r="P195" i="4"/>
  <c r="O195" i="4"/>
  <c r="N195" i="4"/>
  <c r="M195" i="4"/>
  <c r="L195" i="4"/>
  <c r="K195" i="4"/>
  <c r="J195" i="4"/>
  <c r="I195" i="4"/>
  <c r="H195" i="4"/>
  <c r="G195" i="4"/>
  <c r="F195" i="4"/>
  <c r="E195" i="4"/>
  <c r="D195" i="4"/>
  <c r="C195" i="4"/>
  <c r="B195" i="4"/>
  <c r="Q194" i="4"/>
  <c r="P194" i="4"/>
  <c r="O194" i="4"/>
  <c r="N194" i="4"/>
  <c r="M194" i="4"/>
  <c r="L194" i="4"/>
  <c r="K194" i="4"/>
  <c r="J194" i="4"/>
  <c r="I194" i="4"/>
  <c r="H194" i="4"/>
  <c r="G194" i="4"/>
  <c r="F194" i="4"/>
  <c r="E194" i="4"/>
  <c r="D194" i="4"/>
  <c r="C194" i="4"/>
  <c r="B194" i="4"/>
  <c r="Q193" i="4"/>
  <c r="P193" i="4"/>
  <c r="O193" i="4"/>
  <c r="N193" i="4"/>
  <c r="M193" i="4"/>
  <c r="L193" i="4"/>
  <c r="K193" i="4"/>
  <c r="J193" i="4"/>
  <c r="I193" i="4"/>
  <c r="H193" i="4"/>
  <c r="G193" i="4"/>
  <c r="F193" i="4"/>
  <c r="E193" i="4"/>
  <c r="D193" i="4"/>
  <c r="C193" i="4"/>
  <c r="B193" i="4"/>
  <c r="Q192" i="4"/>
  <c r="P192" i="4"/>
  <c r="O192" i="4"/>
  <c r="N192" i="4"/>
  <c r="M192" i="4"/>
  <c r="L192" i="4"/>
  <c r="K192" i="4"/>
  <c r="J192" i="4"/>
  <c r="I192" i="4"/>
  <c r="H192" i="4"/>
  <c r="G192" i="4"/>
  <c r="F192" i="4"/>
  <c r="E192" i="4"/>
  <c r="D192" i="4"/>
  <c r="C192" i="4"/>
  <c r="B192" i="4"/>
  <c r="Q191" i="4"/>
  <c r="P191" i="4"/>
  <c r="O191" i="4"/>
  <c r="N191" i="4"/>
  <c r="M191" i="4"/>
  <c r="L191" i="4"/>
  <c r="K191" i="4"/>
  <c r="J191" i="4"/>
  <c r="I191" i="4"/>
  <c r="H191" i="4"/>
  <c r="G191" i="4"/>
  <c r="F191" i="4"/>
  <c r="E191" i="4"/>
  <c r="D191" i="4"/>
  <c r="C191" i="4"/>
  <c r="B191" i="4"/>
  <c r="Q226" i="4"/>
  <c r="P226" i="4"/>
  <c r="O226" i="4"/>
  <c r="N226" i="4"/>
  <c r="M226" i="4"/>
  <c r="L226" i="4"/>
  <c r="K226" i="4"/>
  <c r="J226" i="4"/>
  <c r="I226" i="4"/>
  <c r="H226" i="4"/>
  <c r="G226" i="4"/>
  <c r="F226" i="4"/>
  <c r="E226" i="4"/>
  <c r="D226" i="4"/>
  <c r="C226" i="4"/>
  <c r="B226" i="4"/>
  <c r="Q225" i="4"/>
  <c r="P225" i="4"/>
  <c r="O225" i="4"/>
  <c r="N225" i="4"/>
  <c r="M225" i="4"/>
  <c r="L225" i="4"/>
  <c r="K225" i="4"/>
  <c r="J225" i="4"/>
  <c r="I225" i="4"/>
  <c r="H225" i="4"/>
  <c r="G225" i="4"/>
  <c r="F225" i="4"/>
  <c r="E225" i="4"/>
  <c r="D225" i="4"/>
  <c r="C225" i="4"/>
  <c r="B225" i="4"/>
  <c r="Q224" i="4"/>
  <c r="P224" i="4"/>
  <c r="O224" i="4"/>
  <c r="N224" i="4"/>
  <c r="M224" i="4"/>
  <c r="L224" i="4"/>
  <c r="K224" i="4"/>
  <c r="J224" i="4"/>
  <c r="I224" i="4"/>
  <c r="H224" i="4"/>
  <c r="G224" i="4"/>
  <c r="F224" i="4"/>
  <c r="E224" i="4"/>
  <c r="D224" i="4"/>
  <c r="C224" i="4"/>
  <c r="B224" i="4"/>
  <c r="Q223" i="4"/>
  <c r="P223" i="4"/>
  <c r="O223" i="4"/>
  <c r="N223" i="4"/>
  <c r="M223" i="4"/>
  <c r="L223" i="4"/>
  <c r="K223" i="4"/>
  <c r="J223" i="4"/>
  <c r="I223" i="4"/>
  <c r="H223" i="4"/>
  <c r="G223" i="4"/>
  <c r="F223" i="4"/>
  <c r="E223" i="4"/>
  <c r="D223" i="4"/>
  <c r="C223" i="4"/>
  <c r="B223" i="4"/>
  <c r="Q222" i="4"/>
  <c r="P222" i="4"/>
  <c r="O222" i="4"/>
  <c r="N222" i="4"/>
  <c r="M222" i="4"/>
  <c r="L222" i="4"/>
  <c r="K222" i="4"/>
  <c r="J222" i="4"/>
  <c r="I222" i="4"/>
  <c r="H222" i="4"/>
  <c r="G222" i="4"/>
  <c r="F222" i="4"/>
  <c r="E222" i="4"/>
  <c r="D222" i="4"/>
  <c r="C222" i="4"/>
  <c r="B222" i="4"/>
  <c r="Q221" i="4"/>
  <c r="P221" i="4"/>
  <c r="O221" i="4"/>
  <c r="N221" i="4"/>
  <c r="M221" i="4"/>
  <c r="L221" i="4"/>
  <c r="K221" i="4"/>
  <c r="J221" i="4"/>
  <c r="I221" i="4"/>
  <c r="H221" i="4"/>
  <c r="G221" i="4"/>
  <c r="F221" i="4"/>
  <c r="E221" i="4"/>
  <c r="D221" i="4"/>
  <c r="C221" i="4"/>
  <c r="B221" i="4"/>
  <c r="Q220" i="4"/>
  <c r="P220" i="4"/>
  <c r="O220" i="4"/>
  <c r="N220" i="4"/>
  <c r="M220" i="4"/>
  <c r="L220" i="4"/>
  <c r="K220" i="4"/>
  <c r="J220" i="4"/>
  <c r="I220" i="4"/>
  <c r="H220" i="4"/>
  <c r="G220" i="4"/>
  <c r="F220" i="4"/>
  <c r="E220" i="4"/>
  <c r="D220" i="4"/>
  <c r="C220" i="4"/>
  <c r="B220" i="4"/>
  <c r="Q219" i="4"/>
  <c r="P219" i="4"/>
  <c r="O219" i="4"/>
  <c r="N219" i="4"/>
  <c r="M219" i="4"/>
  <c r="L219" i="4"/>
  <c r="K219" i="4"/>
  <c r="J219" i="4"/>
  <c r="I219" i="4"/>
  <c r="H219" i="4"/>
  <c r="G219" i="4"/>
  <c r="F219" i="4"/>
  <c r="E219" i="4"/>
  <c r="D219" i="4"/>
  <c r="C219" i="4"/>
  <c r="B219" i="4"/>
  <c r="Q218" i="4"/>
  <c r="P218" i="4"/>
  <c r="O218" i="4"/>
  <c r="N218" i="4"/>
  <c r="M218" i="4"/>
  <c r="L218" i="4"/>
  <c r="K218" i="4"/>
  <c r="J218" i="4"/>
  <c r="I218" i="4"/>
  <c r="H218" i="4"/>
  <c r="G218" i="4"/>
  <c r="F218" i="4"/>
  <c r="E218" i="4"/>
  <c r="D218" i="4"/>
  <c r="C218" i="4"/>
  <c r="B218" i="4"/>
  <c r="Q217" i="4"/>
  <c r="P217" i="4"/>
  <c r="O217" i="4"/>
  <c r="N217" i="4"/>
  <c r="M217" i="4"/>
  <c r="L217" i="4"/>
  <c r="K217" i="4"/>
  <c r="J217" i="4"/>
  <c r="I217" i="4"/>
  <c r="H217" i="4"/>
  <c r="G217" i="4"/>
  <c r="F217" i="4"/>
  <c r="E217" i="4"/>
  <c r="D217" i="4"/>
  <c r="C217" i="4"/>
  <c r="B217" i="4"/>
  <c r="Q216" i="4"/>
  <c r="P216" i="4"/>
  <c r="O216" i="4"/>
  <c r="N216" i="4"/>
  <c r="M216" i="4"/>
  <c r="L216" i="4"/>
  <c r="K216" i="4"/>
  <c r="J216" i="4"/>
  <c r="I216" i="4"/>
  <c r="H216" i="4"/>
  <c r="G216" i="4"/>
  <c r="F216" i="4"/>
  <c r="E216" i="4"/>
  <c r="D216" i="4"/>
  <c r="C216" i="4"/>
  <c r="B216" i="4"/>
  <c r="Q215" i="4"/>
  <c r="P215" i="4"/>
  <c r="O215" i="4"/>
  <c r="N215" i="4"/>
  <c r="M215" i="4"/>
  <c r="L215" i="4"/>
  <c r="K215" i="4"/>
  <c r="J215" i="4"/>
  <c r="I215" i="4"/>
  <c r="H215" i="4"/>
  <c r="G215" i="4"/>
  <c r="F215" i="4"/>
  <c r="E215" i="4"/>
  <c r="D215" i="4"/>
  <c r="C215" i="4"/>
  <c r="B215" i="4"/>
  <c r="Q214" i="4"/>
  <c r="P214" i="4"/>
  <c r="O214" i="4"/>
  <c r="N214" i="4"/>
  <c r="M214" i="4"/>
  <c r="L214" i="4"/>
  <c r="K214" i="4"/>
  <c r="J214" i="4"/>
  <c r="I214" i="4"/>
  <c r="H214" i="4"/>
  <c r="G214" i="4"/>
  <c r="F214" i="4"/>
  <c r="E214" i="4"/>
  <c r="D214" i="4"/>
  <c r="C214" i="4"/>
  <c r="B214" i="4"/>
  <c r="Q213" i="4"/>
  <c r="P213" i="4"/>
  <c r="O213" i="4"/>
  <c r="N213" i="4"/>
  <c r="M213" i="4"/>
  <c r="L213" i="4"/>
  <c r="K213" i="4"/>
  <c r="J213" i="4"/>
  <c r="I213" i="4"/>
  <c r="H213" i="4"/>
  <c r="G213" i="4"/>
  <c r="F213" i="4"/>
  <c r="E213" i="4"/>
  <c r="D213" i="4"/>
  <c r="C213" i="4"/>
  <c r="B213" i="4"/>
  <c r="Q212" i="4"/>
  <c r="P212" i="4"/>
  <c r="O212" i="4"/>
  <c r="N212" i="4"/>
  <c r="M212" i="4"/>
  <c r="L212" i="4"/>
  <c r="K212" i="4"/>
  <c r="J212" i="4"/>
  <c r="I212" i="4"/>
  <c r="H212" i="4"/>
  <c r="G212" i="4"/>
  <c r="F212" i="4"/>
  <c r="E212" i="4"/>
  <c r="D212" i="4"/>
  <c r="C212" i="4"/>
  <c r="B212" i="4"/>
  <c r="Q211" i="4"/>
  <c r="P211" i="4"/>
  <c r="O211" i="4"/>
  <c r="N211" i="4"/>
  <c r="M211" i="4"/>
  <c r="L211" i="4"/>
  <c r="K211" i="4"/>
  <c r="J211" i="4"/>
  <c r="I211" i="4"/>
  <c r="H211" i="4"/>
  <c r="G211" i="4"/>
  <c r="F211" i="4"/>
  <c r="E211" i="4"/>
  <c r="D211" i="4"/>
  <c r="C211" i="4"/>
  <c r="B211" i="4"/>
  <c r="Q93" i="4"/>
  <c r="Q133" i="4" s="1"/>
  <c r="P93" i="4"/>
  <c r="P133" i="4" s="1"/>
  <c r="O93" i="4"/>
  <c r="O133" i="4" s="1"/>
  <c r="N93" i="4"/>
  <c r="N133" i="4" s="1"/>
  <c r="M93" i="4"/>
  <c r="M133" i="4" s="1"/>
  <c r="L93" i="4"/>
  <c r="L133" i="4" s="1"/>
  <c r="K93" i="4"/>
  <c r="K133" i="4" s="1"/>
  <c r="J93" i="4"/>
  <c r="J133" i="4" s="1"/>
  <c r="I93" i="4"/>
  <c r="I113" i="4" s="1"/>
  <c r="H93" i="4"/>
  <c r="H113" i="4" s="1"/>
  <c r="G93" i="4"/>
  <c r="G113" i="4" s="1"/>
  <c r="F93" i="4"/>
  <c r="F113" i="4" s="1"/>
  <c r="E93" i="4"/>
  <c r="E133" i="4" s="1"/>
  <c r="D93" i="4"/>
  <c r="D133" i="4" s="1"/>
  <c r="C93" i="4"/>
  <c r="C133" i="4" s="1"/>
  <c r="B93" i="4"/>
  <c r="B133" i="4" s="1"/>
  <c r="Q92" i="4"/>
  <c r="Q132" i="4" s="1"/>
  <c r="P92" i="4"/>
  <c r="P132" i="4" s="1"/>
  <c r="O92" i="4"/>
  <c r="O132" i="4" s="1"/>
  <c r="N92" i="4"/>
  <c r="N132" i="4" s="1"/>
  <c r="M92" i="4"/>
  <c r="M112" i="4" s="1"/>
  <c r="L92" i="4"/>
  <c r="L112" i="4" s="1"/>
  <c r="K92" i="4"/>
  <c r="K112" i="4" s="1"/>
  <c r="J92" i="4"/>
  <c r="J112" i="4" s="1"/>
  <c r="I92" i="4"/>
  <c r="I132" i="4" s="1"/>
  <c r="H92" i="4"/>
  <c r="H132" i="4" s="1"/>
  <c r="G92" i="4"/>
  <c r="G132" i="4" s="1"/>
  <c r="F92" i="4"/>
  <c r="F132" i="4" s="1"/>
  <c r="E92" i="4"/>
  <c r="E132" i="4" s="1"/>
  <c r="D92" i="4"/>
  <c r="D132" i="4" s="1"/>
  <c r="C92" i="4"/>
  <c r="C132" i="4" s="1"/>
  <c r="B92" i="4"/>
  <c r="B132" i="4" s="1"/>
  <c r="Q91" i="4"/>
  <c r="Q111" i="4" s="1"/>
  <c r="P91" i="4"/>
  <c r="P111" i="4" s="1"/>
  <c r="O91" i="4"/>
  <c r="O111" i="4" s="1"/>
  <c r="N91" i="4"/>
  <c r="N111" i="4" s="1"/>
  <c r="M91" i="4"/>
  <c r="M131" i="4" s="1"/>
  <c r="L91" i="4"/>
  <c r="L131" i="4" s="1"/>
  <c r="K91" i="4"/>
  <c r="K131" i="4" s="1"/>
  <c r="J91" i="4"/>
  <c r="J131" i="4" s="1"/>
  <c r="I91" i="4"/>
  <c r="I131" i="4" s="1"/>
  <c r="H91" i="4"/>
  <c r="H131" i="4" s="1"/>
  <c r="G91" i="4"/>
  <c r="G131" i="4" s="1"/>
  <c r="F91" i="4"/>
  <c r="F131" i="4" s="1"/>
  <c r="E91" i="4"/>
  <c r="E111" i="4" s="1"/>
  <c r="D91" i="4"/>
  <c r="D111" i="4" s="1"/>
  <c r="C91" i="4"/>
  <c r="C111" i="4" s="1"/>
  <c r="B91" i="4"/>
  <c r="B111" i="4" s="1"/>
  <c r="Q90" i="4"/>
  <c r="Q130" i="4" s="1"/>
  <c r="P90" i="4"/>
  <c r="P130" i="4" s="1"/>
  <c r="O90" i="4"/>
  <c r="O130" i="4" s="1"/>
  <c r="N90" i="4"/>
  <c r="N130" i="4" s="1"/>
  <c r="M90" i="4"/>
  <c r="M130" i="4" s="1"/>
  <c r="L90" i="4"/>
  <c r="L130" i="4" s="1"/>
  <c r="K90" i="4"/>
  <c r="K130" i="4" s="1"/>
  <c r="J90" i="4"/>
  <c r="J130" i="4" s="1"/>
  <c r="I90" i="4"/>
  <c r="I110" i="4" s="1"/>
  <c r="H90" i="4"/>
  <c r="H110" i="4" s="1"/>
  <c r="G90" i="4"/>
  <c r="G110" i="4" s="1"/>
  <c r="F90" i="4"/>
  <c r="F110" i="4" s="1"/>
  <c r="E90" i="4"/>
  <c r="E130" i="4" s="1"/>
  <c r="D90" i="4"/>
  <c r="D130" i="4" s="1"/>
  <c r="C90" i="4"/>
  <c r="C130" i="4" s="1"/>
  <c r="B90" i="4"/>
  <c r="B130" i="4" s="1"/>
  <c r="Q89" i="4"/>
  <c r="Q129" i="4" s="1"/>
  <c r="P89" i="4"/>
  <c r="P129" i="4" s="1"/>
  <c r="O89" i="4"/>
  <c r="O129" i="4" s="1"/>
  <c r="N89" i="4"/>
  <c r="N129" i="4" s="1"/>
  <c r="M89" i="4"/>
  <c r="M109" i="4" s="1"/>
  <c r="L89" i="4"/>
  <c r="L109" i="4" s="1"/>
  <c r="K89" i="4"/>
  <c r="K109" i="4" s="1"/>
  <c r="J89" i="4"/>
  <c r="J109" i="4" s="1"/>
  <c r="I89" i="4"/>
  <c r="I129" i="4" s="1"/>
  <c r="H89" i="4"/>
  <c r="H129" i="4" s="1"/>
  <c r="G89" i="4"/>
  <c r="G129" i="4" s="1"/>
  <c r="F89" i="4"/>
  <c r="F129" i="4" s="1"/>
  <c r="E89" i="4"/>
  <c r="E129" i="4" s="1"/>
  <c r="D89" i="4"/>
  <c r="D129" i="4" s="1"/>
  <c r="C89" i="4"/>
  <c r="C129" i="4" s="1"/>
  <c r="B89" i="4"/>
  <c r="B129" i="4" s="1"/>
  <c r="Q88" i="4"/>
  <c r="Q108" i="4" s="1"/>
  <c r="P88" i="4"/>
  <c r="P108" i="4" s="1"/>
  <c r="O88" i="4"/>
  <c r="O108" i="4" s="1"/>
  <c r="N88" i="4"/>
  <c r="N108" i="4" s="1"/>
  <c r="M88" i="4"/>
  <c r="M128" i="4" s="1"/>
  <c r="L88" i="4"/>
  <c r="L128" i="4" s="1"/>
  <c r="K88" i="4"/>
  <c r="K128" i="4" s="1"/>
  <c r="J88" i="4"/>
  <c r="J128" i="4" s="1"/>
  <c r="I88" i="4"/>
  <c r="I128" i="4" s="1"/>
  <c r="H88" i="4"/>
  <c r="H128" i="4" s="1"/>
  <c r="G88" i="4"/>
  <c r="G128" i="4" s="1"/>
  <c r="F88" i="4"/>
  <c r="F128" i="4" s="1"/>
  <c r="E88" i="4"/>
  <c r="E108" i="4" s="1"/>
  <c r="D88" i="4"/>
  <c r="D108" i="4" s="1"/>
  <c r="C88" i="4"/>
  <c r="C108" i="4" s="1"/>
  <c r="B88" i="4"/>
  <c r="B108" i="4" s="1"/>
  <c r="Q87" i="4"/>
  <c r="Q127" i="4" s="1"/>
  <c r="P87" i="4"/>
  <c r="P127" i="4" s="1"/>
  <c r="O87" i="4"/>
  <c r="O127" i="4" s="1"/>
  <c r="N87" i="4"/>
  <c r="N127" i="4" s="1"/>
  <c r="M87" i="4"/>
  <c r="M127" i="4" s="1"/>
  <c r="L87" i="4"/>
  <c r="L127" i="4" s="1"/>
  <c r="K87" i="4"/>
  <c r="K127" i="4" s="1"/>
  <c r="J87" i="4"/>
  <c r="J127" i="4" s="1"/>
  <c r="I87" i="4"/>
  <c r="I107" i="4" s="1"/>
  <c r="H87" i="4"/>
  <c r="H107" i="4" s="1"/>
  <c r="G87" i="4"/>
  <c r="G107" i="4" s="1"/>
  <c r="F87" i="4"/>
  <c r="F107" i="4" s="1"/>
  <c r="E87" i="4"/>
  <c r="E127" i="4" s="1"/>
  <c r="D87" i="4"/>
  <c r="D127" i="4" s="1"/>
  <c r="C87" i="4"/>
  <c r="C127" i="4" s="1"/>
  <c r="B87" i="4"/>
  <c r="B127" i="4" s="1"/>
  <c r="Q86" i="4"/>
  <c r="Q126" i="4" s="1"/>
  <c r="P86" i="4"/>
  <c r="P126" i="4" s="1"/>
  <c r="O86" i="4"/>
  <c r="O126" i="4" s="1"/>
  <c r="N86" i="4"/>
  <c r="N126" i="4" s="1"/>
  <c r="M86" i="4"/>
  <c r="M106" i="4" s="1"/>
  <c r="L86" i="4"/>
  <c r="L106" i="4" s="1"/>
  <c r="K86" i="4"/>
  <c r="K106" i="4" s="1"/>
  <c r="J86" i="4"/>
  <c r="J106" i="4" s="1"/>
  <c r="I86" i="4"/>
  <c r="I126" i="4" s="1"/>
  <c r="H86" i="4"/>
  <c r="H126" i="4" s="1"/>
  <c r="G86" i="4"/>
  <c r="G126" i="4" s="1"/>
  <c r="F86" i="4"/>
  <c r="F126" i="4" s="1"/>
  <c r="E86" i="4"/>
  <c r="E126" i="4" s="1"/>
  <c r="D86" i="4"/>
  <c r="D126" i="4" s="1"/>
  <c r="C86" i="4"/>
  <c r="C126" i="4" s="1"/>
  <c r="B86" i="4"/>
  <c r="B126" i="4" s="1"/>
  <c r="Q85" i="4"/>
  <c r="Q105" i="4" s="1"/>
  <c r="P85" i="4"/>
  <c r="P105" i="4" s="1"/>
  <c r="O85" i="4"/>
  <c r="O105" i="4" s="1"/>
  <c r="N85" i="4"/>
  <c r="N105" i="4" s="1"/>
  <c r="M85" i="4"/>
  <c r="M125" i="4" s="1"/>
  <c r="L85" i="4"/>
  <c r="L125" i="4" s="1"/>
  <c r="K85" i="4"/>
  <c r="K125" i="4" s="1"/>
  <c r="J85" i="4"/>
  <c r="J125" i="4" s="1"/>
  <c r="I85" i="4"/>
  <c r="I125" i="4" s="1"/>
  <c r="H85" i="4"/>
  <c r="H125" i="4" s="1"/>
  <c r="G85" i="4"/>
  <c r="G125" i="4" s="1"/>
  <c r="F85" i="4"/>
  <c r="F125" i="4" s="1"/>
  <c r="E85" i="4"/>
  <c r="E105" i="4" s="1"/>
  <c r="D85" i="4"/>
  <c r="D105" i="4" s="1"/>
  <c r="C85" i="4"/>
  <c r="C105" i="4" s="1"/>
  <c r="B85" i="4"/>
  <c r="B105" i="4" s="1"/>
  <c r="Q84" i="4"/>
  <c r="Q124" i="4" s="1"/>
  <c r="P84" i="4"/>
  <c r="P124" i="4" s="1"/>
  <c r="O84" i="4"/>
  <c r="O124" i="4" s="1"/>
  <c r="N84" i="4"/>
  <c r="N124" i="4" s="1"/>
  <c r="M84" i="4"/>
  <c r="M124" i="4" s="1"/>
  <c r="L84" i="4"/>
  <c r="L124" i="4" s="1"/>
  <c r="K84" i="4"/>
  <c r="K124" i="4" s="1"/>
  <c r="J84" i="4"/>
  <c r="J124" i="4" s="1"/>
  <c r="I84" i="4"/>
  <c r="I104" i="4" s="1"/>
  <c r="H84" i="4"/>
  <c r="H104" i="4" s="1"/>
  <c r="G84" i="4"/>
  <c r="G104" i="4" s="1"/>
  <c r="F84" i="4"/>
  <c r="F104" i="4" s="1"/>
  <c r="E84" i="4"/>
  <c r="E124" i="4" s="1"/>
  <c r="D84" i="4"/>
  <c r="D124" i="4" s="1"/>
  <c r="C84" i="4"/>
  <c r="C124" i="4" s="1"/>
  <c r="B84" i="4"/>
  <c r="B124" i="4" s="1"/>
  <c r="Q83" i="4"/>
  <c r="Q123" i="4" s="1"/>
  <c r="P83" i="4"/>
  <c r="P123" i="4" s="1"/>
  <c r="O83" i="4"/>
  <c r="O123" i="4" s="1"/>
  <c r="N83" i="4"/>
  <c r="N123" i="4" s="1"/>
  <c r="M83" i="4"/>
  <c r="M103" i="4" s="1"/>
  <c r="L83" i="4"/>
  <c r="L103" i="4" s="1"/>
  <c r="K83" i="4"/>
  <c r="K103" i="4" s="1"/>
  <c r="J83" i="4"/>
  <c r="J103" i="4" s="1"/>
  <c r="I83" i="4"/>
  <c r="I123" i="4" s="1"/>
  <c r="H83" i="4"/>
  <c r="H123" i="4" s="1"/>
  <c r="G83" i="4"/>
  <c r="G123" i="4" s="1"/>
  <c r="F83" i="4"/>
  <c r="F123" i="4" s="1"/>
  <c r="E83" i="4"/>
  <c r="E123" i="4" s="1"/>
  <c r="D83" i="4"/>
  <c r="D123" i="4" s="1"/>
  <c r="C83" i="4"/>
  <c r="C123" i="4" s="1"/>
  <c r="B83" i="4"/>
  <c r="B123" i="4" s="1"/>
  <c r="Q82" i="4"/>
  <c r="Q102" i="4" s="1"/>
  <c r="P82" i="4"/>
  <c r="P102" i="4" s="1"/>
  <c r="O82" i="4"/>
  <c r="O102" i="4" s="1"/>
  <c r="N82" i="4"/>
  <c r="N102" i="4" s="1"/>
  <c r="M82" i="4"/>
  <c r="M122" i="4" s="1"/>
  <c r="L82" i="4"/>
  <c r="L122" i="4" s="1"/>
  <c r="K82" i="4"/>
  <c r="K122" i="4" s="1"/>
  <c r="J82" i="4"/>
  <c r="J122" i="4" s="1"/>
  <c r="I82" i="4"/>
  <c r="I122" i="4" s="1"/>
  <c r="H82" i="4"/>
  <c r="H122" i="4" s="1"/>
  <c r="G82" i="4"/>
  <c r="G122" i="4" s="1"/>
  <c r="F82" i="4"/>
  <c r="F122" i="4" s="1"/>
  <c r="E82" i="4"/>
  <c r="E102" i="4" s="1"/>
  <c r="D82" i="4"/>
  <c r="D102" i="4" s="1"/>
  <c r="C82" i="4"/>
  <c r="C102" i="4" s="1"/>
  <c r="B82" i="4"/>
  <c r="B102" i="4" s="1"/>
  <c r="Q81" i="4"/>
  <c r="Q121" i="4" s="1"/>
  <c r="P81" i="4"/>
  <c r="P121" i="4" s="1"/>
  <c r="O81" i="4"/>
  <c r="O121" i="4" s="1"/>
  <c r="N81" i="4"/>
  <c r="N121" i="4" s="1"/>
  <c r="M81" i="4"/>
  <c r="M121" i="4" s="1"/>
  <c r="L81" i="4"/>
  <c r="L121" i="4" s="1"/>
  <c r="K81" i="4"/>
  <c r="K121" i="4" s="1"/>
  <c r="J81" i="4"/>
  <c r="J121" i="4" s="1"/>
  <c r="I81" i="4"/>
  <c r="I101" i="4" s="1"/>
  <c r="H81" i="4"/>
  <c r="H101" i="4" s="1"/>
  <c r="G81" i="4"/>
  <c r="G101" i="4" s="1"/>
  <c r="F81" i="4"/>
  <c r="F101" i="4" s="1"/>
  <c r="E81" i="4"/>
  <c r="E121" i="4" s="1"/>
  <c r="D81" i="4"/>
  <c r="D121" i="4" s="1"/>
  <c r="C81" i="4"/>
  <c r="C121" i="4" s="1"/>
  <c r="B81" i="4"/>
  <c r="B121" i="4" s="1"/>
  <c r="Q80" i="4"/>
  <c r="Q120" i="4" s="1"/>
  <c r="P80" i="4"/>
  <c r="P120" i="4" s="1"/>
  <c r="O80" i="4"/>
  <c r="O120" i="4" s="1"/>
  <c r="N80" i="4"/>
  <c r="N120" i="4" s="1"/>
  <c r="M80" i="4"/>
  <c r="M100" i="4" s="1"/>
  <c r="L80" i="4"/>
  <c r="L100" i="4" s="1"/>
  <c r="K80" i="4"/>
  <c r="K100" i="4" s="1"/>
  <c r="J80" i="4"/>
  <c r="J100" i="4" s="1"/>
  <c r="I80" i="4"/>
  <c r="I120" i="4" s="1"/>
  <c r="H80" i="4"/>
  <c r="H120" i="4" s="1"/>
  <c r="G80" i="4"/>
  <c r="G120" i="4" s="1"/>
  <c r="F80" i="4"/>
  <c r="F120" i="4" s="1"/>
  <c r="E80" i="4"/>
  <c r="E120" i="4" s="1"/>
  <c r="D80" i="4"/>
  <c r="D120" i="4" s="1"/>
  <c r="C80" i="4"/>
  <c r="C120" i="4" s="1"/>
  <c r="B80" i="4"/>
  <c r="B120" i="4" s="1"/>
  <c r="Q79" i="4"/>
  <c r="Q99" i="4" s="1"/>
  <c r="P79" i="4"/>
  <c r="P99" i="4" s="1"/>
  <c r="O79" i="4"/>
  <c r="O99" i="4" s="1"/>
  <c r="N79" i="4"/>
  <c r="N99" i="4" s="1"/>
  <c r="M79" i="4"/>
  <c r="M119" i="4" s="1"/>
  <c r="L79" i="4"/>
  <c r="L119" i="4" s="1"/>
  <c r="K79" i="4"/>
  <c r="K119" i="4" s="1"/>
  <c r="J79" i="4"/>
  <c r="J119" i="4" s="1"/>
  <c r="I79" i="4"/>
  <c r="I119" i="4" s="1"/>
  <c r="H79" i="4"/>
  <c r="H119" i="4" s="1"/>
  <c r="G79" i="4"/>
  <c r="G119" i="4" s="1"/>
  <c r="F79" i="4"/>
  <c r="F119" i="4" s="1"/>
  <c r="E79" i="4"/>
  <c r="E99" i="4" s="1"/>
  <c r="D79" i="4"/>
  <c r="D99" i="4" s="1"/>
  <c r="C79" i="4"/>
  <c r="C99" i="4" s="1"/>
  <c r="B79" i="4"/>
  <c r="B99" i="4" s="1"/>
  <c r="Q78" i="4"/>
  <c r="Q118" i="4" s="1"/>
  <c r="P78" i="4"/>
  <c r="P118" i="4" s="1"/>
  <c r="O78" i="4"/>
  <c r="O118" i="4" s="1"/>
  <c r="N78" i="4"/>
  <c r="N118" i="4" s="1"/>
  <c r="M78" i="4"/>
  <c r="M118" i="4" s="1"/>
  <c r="L78" i="4"/>
  <c r="L118" i="4" s="1"/>
  <c r="K78" i="4"/>
  <c r="K118" i="4" s="1"/>
  <c r="J78" i="4"/>
  <c r="J118" i="4" s="1"/>
  <c r="I78" i="4"/>
  <c r="I98" i="4" s="1"/>
  <c r="H78" i="4"/>
  <c r="H98" i="4" s="1"/>
  <c r="G78" i="4"/>
  <c r="G98" i="4" s="1"/>
  <c r="F78" i="4"/>
  <c r="F98" i="4" s="1"/>
  <c r="E78" i="4"/>
  <c r="E118" i="4" s="1"/>
  <c r="D78" i="4"/>
  <c r="D118" i="4" s="1"/>
  <c r="C78" i="4"/>
  <c r="C118" i="4" s="1"/>
  <c r="B78" i="4"/>
  <c r="B118" i="4" s="1"/>
  <c r="C112" i="4" l="1"/>
  <c r="C103" i="4"/>
  <c r="L113" i="4"/>
  <c r="I124" i="4"/>
  <c r="H133" i="4"/>
  <c r="H130" i="4"/>
  <c r="H127" i="4"/>
  <c r="E128" i="4"/>
  <c r="E125" i="4"/>
  <c r="P100" i="4"/>
  <c r="O100" i="4"/>
  <c r="L98" i="4"/>
  <c r="K98" i="4"/>
  <c r="D112" i="4"/>
  <c r="D103" i="4"/>
  <c r="P109" i="4"/>
  <c r="O109" i="4"/>
  <c r="L107" i="4"/>
  <c r="K107" i="4"/>
  <c r="I133" i="4"/>
  <c r="I130" i="4"/>
  <c r="I127" i="4"/>
  <c r="I121" i="4"/>
  <c r="I118" i="4"/>
  <c r="H111" i="4"/>
  <c r="H105" i="4"/>
  <c r="H124" i="4"/>
  <c r="H121" i="4"/>
  <c r="H118" i="4"/>
  <c r="G105" i="4"/>
  <c r="E131" i="4"/>
  <c r="E122" i="4"/>
  <c r="E119" i="4"/>
  <c r="D109" i="4"/>
  <c r="M98" i="4"/>
  <c r="Q100" i="4"/>
  <c r="E103" i="4"/>
  <c r="I105" i="4"/>
  <c r="M107" i="4"/>
  <c r="Q109" i="4"/>
  <c r="E112" i="4"/>
  <c r="C119" i="4"/>
  <c r="C122" i="4"/>
  <c r="C125" i="4"/>
  <c r="C128" i="4"/>
  <c r="C131" i="4"/>
  <c r="F99" i="4"/>
  <c r="J101" i="4"/>
  <c r="N103" i="4"/>
  <c r="B106" i="4"/>
  <c r="F108" i="4"/>
  <c r="J110" i="4"/>
  <c r="N112" i="4"/>
  <c r="D119" i="4"/>
  <c r="D122" i="4"/>
  <c r="D125" i="4"/>
  <c r="D128" i="4"/>
  <c r="D131" i="4"/>
  <c r="G99" i="4"/>
  <c r="K101" i="4"/>
  <c r="O103" i="4"/>
  <c r="C106" i="4"/>
  <c r="G108" i="4"/>
  <c r="K110" i="4"/>
  <c r="O112" i="4"/>
  <c r="H99" i="4"/>
  <c r="L101" i="4"/>
  <c r="P103" i="4"/>
  <c r="D106" i="4"/>
  <c r="H108" i="4"/>
  <c r="L110" i="4"/>
  <c r="P112" i="4"/>
  <c r="O119" i="4"/>
  <c r="O122" i="4"/>
  <c r="O125" i="4"/>
  <c r="O128" i="4"/>
  <c r="O131" i="4"/>
  <c r="I99" i="4"/>
  <c r="M101" i="4"/>
  <c r="Q103" i="4"/>
  <c r="E106" i="4"/>
  <c r="I108" i="4"/>
  <c r="M110" i="4"/>
  <c r="Q112" i="4"/>
  <c r="P119" i="4"/>
  <c r="P122" i="4"/>
  <c r="P125" i="4"/>
  <c r="P128" i="4"/>
  <c r="P131" i="4"/>
  <c r="B100" i="4"/>
  <c r="F102" i="4"/>
  <c r="J104" i="4"/>
  <c r="N106" i="4"/>
  <c r="B109" i="4"/>
  <c r="F111" i="4"/>
  <c r="J113" i="4"/>
  <c r="Q119" i="4"/>
  <c r="Q122" i="4"/>
  <c r="Q125" i="4"/>
  <c r="Q128" i="4"/>
  <c r="Q131" i="4"/>
  <c r="C100" i="4"/>
  <c r="G102" i="4"/>
  <c r="K104" i="4"/>
  <c r="O106" i="4"/>
  <c r="C109" i="4"/>
  <c r="G111" i="4"/>
  <c r="K113" i="4"/>
  <c r="K120" i="4"/>
  <c r="K123" i="4"/>
  <c r="K126" i="4"/>
  <c r="K129" i="4"/>
  <c r="K132" i="4"/>
  <c r="D100" i="4"/>
  <c r="H102" i="4"/>
  <c r="L104" i="4"/>
  <c r="P106" i="4"/>
  <c r="L120" i="4"/>
  <c r="L123" i="4"/>
  <c r="L126" i="4"/>
  <c r="L129" i="4"/>
  <c r="L132" i="4"/>
  <c r="E100" i="4"/>
  <c r="I102" i="4"/>
  <c r="M104" i="4"/>
  <c r="Q106" i="4"/>
  <c r="E109" i="4"/>
  <c r="I111" i="4"/>
  <c r="M113" i="4"/>
  <c r="M120" i="4"/>
  <c r="M123" i="4"/>
  <c r="M126" i="4"/>
  <c r="M129" i="4"/>
  <c r="M132" i="4"/>
  <c r="J98" i="4"/>
  <c r="N100" i="4"/>
  <c r="B103" i="4"/>
  <c r="F105" i="4"/>
  <c r="J107" i="4"/>
  <c r="N109" i="4"/>
  <c r="B112" i="4"/>
  <c r="G118" i="4"/>
  <c r="G121" i="4"/>
  <c r="G124" i="4"/>
  <c r="G127" i="4"/>
  <c r="G130" i="4"/>
  <c r="G133" i="4"/>
  <c r="F118" i="4"/>
  <c r="B119" i="4"/>
  <c r="N119" i="4"/>
  <c r="J120" i="4"/>
  <c r="F121" i="4"/>
  <c r="B122" i="4"/>
  <c r="N122" i="4"/>
  <c r="J123" i="4"/>
  <c r="F124" i="4"/>
  <c r="B125" i="4"/>
  <c r="N125" i="4"/>
  <c r="J126" i="4"/>
  <c r="F127" i="4"/>
  <c r="B128" i="4"/>
  <c r="N128" i="4"/>
  <c r="J129" i="4"/>
  <c r="F130" i="4"/>
  <c r="B131" i="4"/>
  <c r="N131" i="4"/>
  <c r="J132" i="4"/>
  <c r="F133" i="4"/>
  <c r="B98" i="4"/>
  <c r="N98" i="4"/>
  <c r="J99" i="4"/>
  <c r="F100" i="4"/>
  <c r="B101" i="4"/>
  <c r="N101" i="4"/>
  <c r="J102" i="4"/>
  <c r="F103" i="4"/>
  <c r="B104" i="4"/>
  <c r="N104" i="4"/>
  <c r="J105" i="4"/>
  <c r="F106" i="4"/>
  <c r="B107" i="4"/>
  <c r="N107" i="4"/>
  <c r="J108" i="4"/>
  <c r="F109" i="4"/>
  <c r="B110" i="4"/>
  <c r="N110" i="4"/>
  <c r="J111" i="4"/>
  <c r="F112" i="4"/>
  <c r="B113" i="4"/>
  <c r="N113" i="4"/>
  <c r="C98" i="4"/>
  <c r="O98" i="4"/>
  <c r="K99" i="4"/>
  <c r="G100" i="4"/>
  <c r="C101" i="4"/>
  <c r="O101" i="4"/>
  <c r="K102" i="4"/>
  <c r="G103" i="4"/>
  <c r="C104" i="4"/>
  <c r="O104" i="4"/>
  <c r="K105" i="4"/>
  <c r="G106" i="4"/>
  <c r="C107" i="4"/>
  <c r="O107" i="4"/>
  <c r="K108" i="4"/>
  <c r="G109" i="4"/>
  <c r="C110" i="4"/>
  <c r="O110" i="4"/>
  <c r="K111" i="4"/>
  <c r="G112" i="4"/>
  <c r="C113" i="4"/>
  <c r="O113" i="4"/>
  <c r="D98" i="4"/>
  <c r="P98" i="4"/>
  <c r="L99" i="4"/>
  <c r="H100" i="4"/>
  <c r="D101" i="4"/>
  <c r="P101" i="4"/>
  <c r="L102" i="4"/>
  <c r="H103" i="4"/>
  <c r="D104" i="4"/>
  <c r="P104" i="4"/>
  <c r="L105" i="4"/>
  <c r="H106" i="4"/>
  <c r="D107" i="4"/>
  <c r="P107" i="4"/>
  <c r="L108" i="4"/>
  <c r="H109" i="4"/>
  <c r="D110" i="4"/>
  <c r="P110" i="4"/>
  <c r="L111" i="4"/>
  <c r="H112" i="4"/>
  <c r="D113" i="4"/>
  <c r="P113" i="4"/>
  <c r="E98" i="4"/>
  <c r="Q98" i="4"/>
  <c r="M99" i="4"/>
  <c r="I100" i="4"/>
  <c r="E101" i="4"/>
  <c r="Q101" i="4"/>
  <c r="M102" i="4"/>
  <c r="I103" i="4"/>
  <c r="E104" i="4"/>
  <c r="Q104" i="4"/>
  <c r="M105" i="4"/>
  <c r="I106" i="4"/>
  <c r="E107" i="4"/>
  <c r="Q107" i="4"/>
  <c r="M108" i="4"/>
  <c r="I109" i="4"/>
  <c r="E110" i="4"/>
  <c r="Q110" i="4"/>
  <c r="M111" i="4"/>
  <c r="I112" i="4"/>
  <c r="E113" i="4"/>
  <c r="Q113" i="4"/>
</calcChain>
</file>

<file path=xl/sharedStrings.xml><?xml version="1.0" encoding="utf-8"?>
<sst xmlns="http://schemas.openxmlformats.org/spreadsheetml/2006/main" count="2138" uniqueCount="204">
  <si>
    <t>Date</t>
  </si>
  <si>
    <t>Map</t>
  </si>
  <si>
    <t>Split</t>
  </si>
  <si>
    <t>andy</t>
  </si>
  <si>
    <t>darwin</t>
  </si>
  <si>
    <t>lindsey</t>
  </si>
  <si>
    <t>josh</t>
  </si>
  <si>
    <t>tang</t>
  </si>
  <si>
    <t>sequential</t>
  </si>
  <si>
    <t>sun</t>
  </si>
  <si>
    <t>yang</t>
  </si>
  <si>
    <t>steven</t>
  </si>
  <si>
    <t>sophie</t>
  </si>
  <si>
    <t>Haven</t>
  </si>
  <si>
    <t>Ascent</t>
  </si>
  <si>
    <t>bongdong</t>
  </si>
  <si>
    <t>brian</t>
  </si>
  <si>
    <t>Bind</t>
  </si>
  <si>
    <t>brandon</t>
  </si>
  <si>
    <t>Icebox</t>
  </si>
  <si>
    <t>Pearl</t>
  </si>
  <si>
    <t>Breeze</t>
  </si>
  <si>
    <t>cade</t>
  </si>
  <si>
    <t>steve</t>
  </si>
  <si>
    <t>susi</t>
  </si>
  <si>
    <t>Fracture</t>
  </si>
  <si>
    <t>susu</t>
  </si>
  <si>
    <t>Player</t>
  </si>
  <si>
    <t xml:space="preserve">steve </t>
  </si>
  <si>
    <t>Win Rate</t>
  </si>
  <si>
    <t>COMBO WINS</t>
  </si>
  <si>
    <t>COMBO LOSSES</t>
  </si>
  <si>
    <t/>
  </si>
  <si>
    <t>Total Wins</t>
  </si>
  <si>
    <t>Total Games</t>
  </si>
  <si>
    <t xml:space="preserve">andy </t>
  </si>
  <si>
    <t xml:space="preserve">brandon </t>
  </si>
  <si>
    <t xml:space="preserve">brian </t>
  </si>
  <si>
    <t xml:space="preserve">cade </t>
  </si>
  <si>
    <t xml:space="preserve">darwin </t>
  </si>
  <si>
    <t xml:space="preserve">josh </t>
  </si>
  <si>
    <t xml:space="preserve">lindsey </t>
  </si>
  <si>
    <t xml:space="preserve">sequential </t>
  </si>
  <si>
    <t xml:space="preserve">sophie </t>
  </si>
  <si>
    <t xml:space="preserve">steven </t>
  </si>
  <si>
    <t xml:space="preserve">sun </t>
  </si>
  <si>
    <t xml:space="preserve">susi </t>
  </si>
  <si>
    <t xml:space="preserve">susu </t>
  </si>
  <si>
    <t xml:space="preserve">tang </t>
  </si>
  <si>
    <t xml:space="preserve">yang </t>
  </si>
  <si>
    <t>2/3</t>
  </si>
  <si>
    <t>6/11</t>
  </si>
  <si>
    <t>4/8</t>
  </si>
  <si>
    <t>7/12</t>
  </si>
  <si>
    <t>9/10</t>
  </si>
  <si>
    <t>7/9</t>
  </si>
  <si>
    <t>3/4</t>
  </si>
  <si>
    <t>3/6</t>
  </si>
  <si>
    <t>7/11</t>
  </si>
  <si>
    <t>1/2</t>
  </si>
  <si>
    <t>0/1</t>
  </si>
  <si>
    <t>1/1</t>
  </si>
  <si>
    <t>0/3</t>
  </si>
  <si>
    <t>1/3</t>
  </si>
  <si>
    <t>1/5</t>
  </si>
  <si>
    <t>2/4</t>
  </si>
  <si>
    <t>0/2</t>
  </si>
  <si>
    <t>1/7</t>
  </si>
  <si>
    <t>5/11</t>
  </si>
  <si>
    <t>1/4</t>
  </si>
  <si>
    <t>7/10</t>
  </si>
  <si>
    <t>8/14</t>
  </si>
  <si>
    <t>3/7</t>
  </si>
  <si>
    <t>2/5</t>
  </si>
  <si>
    <t>3/5</t>
  </si>
  <si>
    <t>10/16</t>
  </si>
  <si>
    <t>4/7</t>
  </si>
  <si>
    <t>4/10</t>
  </si>
  <si>
    <t>3/11</t>
  </si>
  <si>
    <t>6/9</t>
  </si>
  <si>
    <t>4/9</t>
  </si>
  <si>
    <t>5/10</t>
  </si>
  <si>
    <t>2/7</t>
  </si>
  <si>
    <t>5/12</t>
  </si>
  <si>
    <t>10/11</t>
  </si>
  <si>
    <t>3/8</t>
  </si>
  <si>
    <t>0/6</t>
  </si>
  <si>
    <t>4/4</t>
  </si>
  <si>
    <t>0/4</t>
  </si>
  <si>
    <t>9/11</t>
  </si>
  <si>
    <t>2/2</t>
  </si>
  <si>
    <t>5/6</t>
  </si>
  <si>
    <t>COMBO GAMES - COUNT</t>
  </si>
  <si>
    <t>COMBO GAMES - PCT</t>
  </si>
  <si>
    <t>COMBO GAMES - FRACTION</t>
  </si>
  <si>
    <t>Count</t>
  </si>
  <si>
    <t>RAW DATA</t>
  </si>
  <si>
    <t>MAP</t>
  </si>
  <si>
    <t>Percentage</t>
  </si>
  <si>
    <t>Won</t>
  </si>
  <si>
    <t>3/10</t>
  </si>
  <si>
    <t>5/15</t>
  </si>
  <si>
    <t>7/14</t>
  </si>
  <si>
    <t>4/12</t>
  </si>
  <si>
    <t>4/5</t>
  </si>
  <si>
    <t>4/6</t>
  </si>
  <si>
    <t>3/3</t>
  </si>
  <si>
    <t>5/8</t>
  </si>
  <si>
    <t>9/13</t>
  </si>
  <si>
    <t>6/12</t>
  </si>
  <si>
    <t>8/11</t>
  </si>
  <si>
    <t>9/16</t>
  </si>
  <si>
    <t>5/7</t>
  </si>
  <si>
    <t>2/6</t>
  </si>
  <si>
    <t>8/13</t>
  </si>
  <si>
    <t>5/14</t>
  </si>
  <si>
    <t>6/14</t>
  </si>
  <si>
    <t>4/11</t>
  </si>
  <si>
    <t>2/11</t>
  </si>
  <si>
    <t>5/13</t>
  </si>
  <si>
    <t>9/20</t>
  </si>
  <si>
    <t>2/10</t>
  </si>
  <si>
    <t>3/9</t>
  </si>
  <si>
    <t>9/14</t>
  </si>
  <si>
    <t>7/16</t>
  </si>
  <si>
    <t>11/18</t>
  </si>
  <si>
    <t>11/20</t>
  </si>
  <si>
    <t>8/12</t>
  </si>
  <si>
    <t>8/10</t>
  </si>
  <si>
    <t>11/12</t>
  </si>
  <si>
    <t>2/9</t>
  </si>
  <si>
    <t>1/12</t>
  </si>
  <si>
    <t>9/19</t>
  </si>
  <si>
    <t>8/16</t>
  </si>
  <si>
    <t>10/18</t>
  </si>
  <si>
    <t>5/5</t>
  </si>
  <si>
    <t>10/19</t>
  </si>
  <si>
    <t>6/18</t>
  </si>
  <si>
    <t>8/18</t>
  </si>
  <si>
    <t>4/14</t>
  </si>
  <si>
    <t>14/23</t>
  </si>
  <si>
    <t>12/18</t>
  </si>
  <si>
    <t>10/14</t>
  </si>
  <si>
    <t>6/6</t>
  </si>
  <si>
    <t>14/24</t>
  </si>
  <si>
    <t>9/17</t>
  </si>
  <si>
    <t>11/17</t>
  </si>
  <si>
    <t>8/15</t>
  </si>
  <si>
    <t>INDIV PERFORMANCE</t>
  </si>
  <si>
    <t>Win %</t>
  </si>
  <si>
    <t>Winning Team</t>
  </si>
  <si>
    <t>Losing Team</t>
  </si>
  <si>
    <t>MATCHUP WINNER - WIN COUNT</t>
  </si>
  <si>
    <t>MATCHUP WINNER - GAME COUNT</t>
  </si>
  <si>
    <t>MATCHUP WINNER - WIN %</t>
  </si>
  <si>
    <t>MATCHUP WINNER - WIN FRACTION</t>
  </si>
  <si>
    <t>6/15</t>
  </si>
  <si>
    <t>8/17</t>
  </si>
  <si>
    <t>10/13</t>
  </si>
  <si>
    <t>9/15</t>
  </si>
  <si>
    <t>3/13</t>
  </si>
  <si>
    <t>PRESS ME:</t>
  </si>
  <si>
    <t>WIN RATE OVER TIME - BLOCK</t>
  </si>
  <si>
    <t>WIN RATE OVER TIME - CUMULATIVE</t>
  </si>
  <si>
    <t>Today</t>
  </si>
  <si>
    <t>Current Date</t>
  </si>
  <si>
    <t>Period Start Date</t>
  </si>
  <si>
    <t>Total Wins up to Period</t>
  </si>
  <si>
    <t>Total Games up to Period</t>
  </si>
  <si>
    <t>Avg up to Period</t>
  </si>
  <si>
    <t>WIN RATE OVER TIME - GAMES WON</t>
  </si>
  <si>
    <t>WIN RATE OVER TIME - GAMES PLAYED</t>
  </si>
  <si>
    <t>INDIV WIN BY MAP - WIN %</t>
  </si>
  <si>
    <t>INDIV WIN BY MAP - GAMES WON</t>
  </si>
  <si>
    <t>INDIV WIN BY MAP - GAMES PLAYED</t>
  </si>
  <si>
    <t>Current Win Avg</t>
  </si>
  <si>
    <t>Counter</t>
  </si>
  <si>
    <t>Player Games Won</t>
  </si>
  <si>
    <t>Player Games Played</t>
  </si>
  <si>
    <t>NOT UPDATED BY MACRO ANYMORE</t>
  </si>
  <si>
    <t>6/13</t>
  </si>
  <si>
    <t>14/25</t>
  </si>
  <si>
    <t>13/16</t>
  </si>
  <si>
    <t>7/15</t>
  </si>
  <si>
    <t>5/9</t>
  </si>
  <si>
    <t>15/24</t>
  </si>
  <si>
    <t>11/15</t>
  </si>
  <si>
    <t>10/20</t>
  </si>
  <si>
    <t>10/24</t>
  </si>
  <si>
    <t>8/20</t>
  </si>
  <si>
    <t>14/22</t>
  </si>
  <si>
    <t>6/7</t>
  </si>
  <si>
    <t>11/14</t>
  </si>
  <si>
    <t>3/14</t>
  </si>
  <si>
    <t>12/30</t>
  </si>
  <si>
    <t>6/16</t>
  </si>
  <si>
    <t>12/26</t>
  </si>
  <si>
    <t>12/17</t>
  </si>
  <si>
    <t>12/20</t>
  </si>
  <si>
    <t>8/22</t>
  </si>
  <si>
    <t>18/30</t>
  </si>
  <si>
    <t>14/26</t>
  </si>
  <si>
    <t>4/15</t>
  </si>
  <si>
    <t>5/17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</si>
</sst>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m/d/yy;@"/>
    <numFmt numFmtId="165" formatCode="[$-409]d\-mmm;@"/>
  </numFmts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rgb="FF000000"/>
      <name val="Calibri"/>
      <family val="2"/>
    </font>
    <font>
      <b/>
      <sz val="11"/>
      <color theme="4" tint="-0.249977111117893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4" tint="0.39997558519241921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medium">
        <color theme="4" tint="-0.249977111117893"/>
      </left>
      <right/>
      <top style="medium">
        <color theme="4" tint="-0.249977111117893"/>
      </top>
      <bottom style="medium">
        <color theme="4" tint="-0.249977111117893"/>
      </bottom>
      <diagonal/>
    </border>
    <border>
      <left/>
      <right style="medium">
        <color theme="4" tint="-0.249977111117893"/>
      </right>
      <top style="medium">
        <color theme="4" tint="-0.249977111117893"/>
      </top>
      <bottom style="medium">
        <color theme="4" tint="-0.249977111117893"/>
      </bottom>
      <diagonal/>
    </border>
    <border>
      <left style="medium">
        <color theme="4" tint="-0.249977111117893"/>
      </left>
      <right/>
      <top style="medium">
        <color theme="4" tint="-0.249977111117893"/>
      </top>
      <bottom/>
      <diagonal/>
    </border>
    <border>
      <left/>
      <right style="medium">
        <color theme="4" tint="-0.249977111117893"/>
      </right>
      <top style="medium">
        <color theme="4" tint="-0.249977111117893"/>
      </top>
      <bottom/>
      <diagonal/>
    </border>
    <border>
      <left style="medium">
        <color theme="4" tint="-0.249977111117893"/>
      </left>
      <right/>
      <top/>
      <bottom/>
      <diagonal/>
    </border>
    <border>
      <left/>
      <right style="medium">
        <color theme="4" tint="-0.249977111117893"/>
      </right>
      <top/>
      <bottom/>
      <diagonal/>
    </border>
    <border>
      <left style="medium">
        <color theme="4" tint="-0.249977111117893"/>
      </left>
      <right/>
      <top/>
      <bottom style="medium">
        <color theme="4" tint="-0.249977111117893"/>
      </bottom>
      <diagonal/>
    </border>
    <border>
      <left/>
      <right style="medium">
        <color theme="4" tint="-0.249977111117893"/>
      </right>
      <top/>
      <bottom style="medium">
        <color theme="4" tint="-0.249977111117893"/>
      </bottom>
      <diagonal/>
    </border>
  </borders>
  <cellStyleXfs count="1">
    <xf numFmtId="0" fontId="0" fillId="0" borderId="0"/>
  </cellStyleXfs>
  <cellXfs count="37">
    <xf numFmtId="0" fontId="0" fillId="0" borderId="0" xfId="0"/>
    <xf numFmtId="0" fontId="0" fillId="0" borderId="0" xfId="0" applyBorder="1"/>
    <xf numFmtId="0" fontId="0" fillId="0" borderId="0" xfId="0" applyFill="1" applyBorder="1"/>
    <xf numFmtId="0" fontId="1" fillId="0" borderId="0" xfId="0" applyFont="1" applyBorder="1"/>
    <xf numFmtId="0" fontId="1" fillId="0" borderId="0" xfId="0" applyFont="1" applyFill="1" applyBorder="1"/>
    <xf numFmtId="9" fontId="0" fillId="0" borderId="0" xfId="0" applyNumberFormat="1" applyFill="1" applyBorder="1"/>
    <xf numFmtId="9" fontId="0" fillId="0" borderId="0" xfId="0" applyNumberFormat="1"/>
    <xf numFmtId="9" fontId="0" fillId="0" borderId="0" xfId="0" applyNumberFormat="1" applyBorder="1"/>
    <xf numFmtId="9" fontId="0" fillId="0" borderId="0" xfId="0" applyNumberFormat="1" applyAlignment="1">
      <alignment horizontal="right"/>
    </xf>
    <xf numFmtId="0" fontId="0" fillId="0" borderId="0" xfId="0" applyNumberFormat="1" applyBorder="1"/>
    <xf numFmtId="164" fontId="0" fillId="0" borderId="0" xfId="0" applyNumberFormat="1" applyBorder="1"/>
    <xf numFmtId="165" fontId="0" fillId="0" borderId="0" xfId="0" applyNumberFormat="1" applyBorder="1"/>
    <xf numFmtId="165" fontId="0" fillId="0" borderId="0" xfId="0" applyNumberFormat="1"/>
    <xf numFmtId="0" fontId="0" fillId="0" borderId="0" xfId="0" applyNumberFormat="1"/>
    <xf numFmtId="1" fontId="0" fillId="0" borderId="0" xfId="0" applyNumberFormat="1" applyBorder="1"/>
    <xf numFmtId="164" fontId="0" fillId="0" borderId="0" xfId="0" applyNumberFormat="1"/>
    <xf numFmtId="164" fontId="1" fillId="0" borderId="0" xfId="0" applyNumberFormat="1" applyFont="1" applyAlignment="1">
      <alignment wrapText="1"/>
    </xf>
    <xf numFmtId="9" fontId="1" fillId="0" borderId="0" xfId="0" applyNumberFormat="1" applyFont="1" applyAlignment="1">
      <alignment wrapText="1"/>
    </xf>
    <xf numFmtId="0" fontId="1" fillId="0" borderId="0" xfId="0" applyNumberFormat="1" applyFont="1" applyAlignment="1">
      <alignment wrapText="1"/>
    </xf>
    <xf numFmtId="0" fontId="1" fillId="0" borderId="0" xfId="0" applyFont="1"/>
    <xf numFmtId="9" fontId="1" fillId="0" borderId="0" xfId="0" applyNumberFormat="1" applyFont="1"/>
    <xf numFmtId="0" fontId="1" fillId="2" borderId="1" xfId="0" applyFont="1" applyFill="1" applyBorder="1"/>
    <xf numFmtId="0" fontId="0" fillId="2" borderId="1" xfId="0" applyFill="1" applyBorder="1"/>
    <xf numFmtId="0" fontId="1" fillId="2" borderId="0" xfId="0" applyFont="1" applyFill="1" applyBorder="1"/>
    <xf numFmtId="0" fontId="0" fillId="2" borderId="0" xfId="0" applyFill="1" applyBorder="1"/>
    <xf numFmtId="165" fontId="0" fillId="2" borderId="1" xfId="0" applyNumberFormat="1" applyFill="1" applyBorder="1"/>
    <xf numFmtId="0" fontId="1" fillId="2" borderId="1" xfId="0" applyNumberFormat="1" applyFont="1" applyFill="1" applyBorder="1"/>
    <xf numFmtId="0" fontId="0" fillId="0" borderId="0" xfId="0" applyBorder="1" applyAlignment="1">
      <alignment horizontal="center"/>
    </xf>
    <xf numFmtId="0" fontId="0" fillId="3" borderId="4" xfId="0" applyFill="1" applyBorder="1" applyAlignment="1">
      <alignment horizontal="center"/>
    </xf>
    <xf numFmtId="0" fontId="0" fillId="3" borderId="5" xfId="0" applyFill="1" applyBorder="1" applyAlignment="1">
      <alignment horizontal="center"/>
    </xf>
    <xf numFmtId="0" fontId="0" fillId="3" borderId="6" xfId="0" applyFill="1" applyBorder="1" applyAlignment="1">
      <alignment horizontal="center"/>
    </xf>
    <xf numFmtId="0" fontId="0" fillId="3" borderId="7" xfId="0" applyFill="1" applyBorder="1" applyAlignment="1">
      <alignment horizontal="center"/>
    </xf>
    <xf numFmtId="0" fontId="0" fillId="3" borderId="8" xfId="0" applyFill="1" applyBorder="1" applyAlignment="1">
      <alignment horizontal="center"/>
    </xf>
    <xf numFmtId="0" fontId="0" fillId="3" borderId="9" xfId="0" applyFill="1" applyBorder="1" applyAlignment="1">
      <alignment horizontal="center"/>
    </xf>
    <xf numFmtId="0" fontId="3" fillId="0" borderId="2" xfId="0" applyFont="1" applyBorder="1" applyAlignment="1">
      <alignment horizontal="center"/>
    </xf>
    <xf numFmtId="0" fontId="3" fillId="0" borderId="3" xfId="0" applyFont="1" applyBorder="1" applyAlignment="1">
      <alignment horizontal="center"/>
    </xf>
    <xf numFmtId="14" fontId="0" fillId="0" borderId="0" xfId="0" applyNumberFormat="1"/>
  </cellXfs>
  <cellStyles count="1">
    <cellStyle name="Normal" xfId="0" builtinId="0"/>
  </cellStyles>
  <dxfs count="51">
    <dxf>
      <numFmt numFmtId="0" formatCode="General"/>
    </dxf>
    <dxf>
      <numFmt numFmtId="13" formatCode="0%"/>
    </dxf>
    <dxf>
      <numFmt numFmtId="13" formatCode="0%"/>
    </dxf>
    <dxf>
      <numFmt numFmtId="0" formatCode="General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  <alignment horizontal="right" vertical="bottom" textRotation="0" wrapText="0" indent="0" justifyLastLine="0" shrinkToFit="0" readingOrder="0"/>
    </dxf>
    <dxf>
      <numFmt numFmtId="13" formatCode="0%"/>
      <alignment horizontal="right" vertical="bottom" textRotation="0" wrapText="0" indent="0" justifyLastLine="0" shrinkToFit="0" readingOrder="0"/>
    </dxf>
    <dxf>
      <numFmt numFmtId="13" formatCode="0%"/>
      <alignment horizontal="right" vertical="bottom" textRotation="0" wrapText="0" indent="0" justifyLastLine="0" shrinkToFit="0" readingOrder="0"/>
    </dxf>
    <dxf>
      <numFmt numFmtId="13" formatCode="0%"/>
      <alignment horizontal="right" vertical="bottom" textRotation="0" wrapText="0" indent="0" justifyLastLine="0" shrinkToFit="0" readingOrder="0"/>
    </dxf>
    <dxf>
      <numFmt numFmtId="13" formatCode="0%"/>
      <alignment horizontal="right" vertical="bottom" textRotation="0" wrapText="0" indent="0" justifyLastLine="0" shrinkToFit="0" readingOrder="0"/>
    </dxf>
    <dxf>
      <numFmt numFmtId="13" formatCode="0%"/>
      <alignment horizontal="right" vertical="bottom" textRotation="0" wrapText="0" indent="0" justifyLastLine="0" shrinkToFit="0" readingOrder="0"/>
    </dxf>
    <dxf>
      <numFmt numFmtId="13" formatCode="0%"/>
      <alignment horizontal="right" vertical="bottom" textRotation="0" wrapText="0" indent="0" justifyLastLine="0" shrinkToFit="0" readingOrder="0"/>
    </dxf>
    <dxf>
      <numFmt numFmtId="13" formatCode="0%"/>
      <alignment horizontal="right" vertical="bottom" textRotation="0" wrapText="0" indent="0" justifyLastLine="0" shrinkToFit="0" readingOrder="0"/>
    </dxf>
    <dxf>
      <numFmt numFmtId="13" formatCode="0%"/>
      <alignment horizontal="right" vertical="bottom" textRotation="0" wrapText="0" indent="0" justifyLastLine="0" shrinkToFit="0" readingOrder="0"/>
    </dxf>
    <dxf>
      <numFmt numFmtId="13" formatCode="0%"/>
      <alignment horizontal="right" vertical="bottom" textRotation="0" wrapText="0" indent="0" justifyLastLine="0" shrinkToFit="0" readingOrder="0"/>
    </dxf>
    <dxf>
      <numFmt numFmtId="13" formatCode="0%"/>
      <alignment horizontal="right" vertical="bottom" textRotation="0" wrapText="0" indent="0" justifyLastLine="0" shrinkToFit="0" readingOrder="0"/>
    </dxf>
    <dxf>
      <numFmt numFmtId="13" formatCode="0%"/>
      <alignment horizontal="right" vertical="bottom" textRotation="0" wrapText="0" indent="0" justifyLastLine="0" shrinkToFit="0" readingOrder="0"/>
    </dxf>
    <dxf>
      <numFmt numFmtId="13" formatCode="0%"/>
      <alignment horizontal="right" vertical="bottom" textRotation="0" wrapText="0" indent="0" justifyLastLine="0" shrinkToFit="0" readingOrder="0"/>
    </dxf>
    <dxf>
      <numFmt numFmtId="13" formatCode="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</dxfs>
  <tableStyles count="0" defaultTableStyle="TableStyleMedium2" defaultPivotStyle="PivotStyleLight16"/>
  <colors>
    <mruColors>
      <color rgb="FFCCE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209550</xdr:colOff>
          <xdr:row>18</xdr:row>
          <xdr:rowOff>114300</xdr:rowOff>
        </xdr:from>
        <xdr:to>
          <xdr:col>13</xdr:col>
          <xdr:colOff>342900</xdr:colOff>
          <xdr:row>21</xdr:row>
          <xdr:rowOff>114300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xmlns="" id="{00000000-0008-0000-06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id="9" name="Table9" displayName="Table9" ref="A1:AG17" totalsRowShown="0">
  <autoFilter ref="A1:AG17"/>
  <sortState ref="A4:AH19">
    <sortCondition ref="A3:A19"/>
  </sortState>
  <tableColumns count="33">
    <tableColumn id="1" name="Player"/>
    <tableColumn id="2" name="andy" dataDxfId="50"/>
    <tableColumn id="3" name="brandon" dataDxfId="49"/>
    <tableColumn id="4" name="brian" dataDxfId="48"/>
    <tableColumn id="5" name="cade" dataDxfId="47"/>
    <tableColumn id="6" name="darwin" dataDxfId="46"/>
    <tableColumn id="7" name="josh" dataDxfId="45"/>
    <tableColumn id="8" name="lindsey" dataDxfId="44"/>
    <tableColumn id="9" name="sequential" dataDxfId="43"/>
    <tableColumn id="10" name="sophie" dataDxfId="42"/>
    <tableColumn id="11" name="steve" dataDxfId="41"/>
    <tableColumn id="12" name="steven" dataDxfId="40"/>
    <tableColumn id="13" name="sun" dataDxfId="39"/>
    <tableColumn id="14" name="susi" dataDxfId="38"/>
    <tableColumn id="15" name="susu" dataDxfId="37"/>
    <tableColumn id="16" name="tang" dataDxfId="36"/>
    <tableColumn id="17" name="yang" dataDxfId="35"/>
    <tableColumn id="35" name="andy " dataDxfId="34"/>
    <tableColumn id="18" name="brandon "/>
    <tableColumn id="19" name="brian " dataDxfId="33"/>
    <tableColumn id="20" name="cade " dataDxfId="32"/>
    <tableColumn id="21" name="darwin " dataDxfId="31"/>
    <tableColumn id="22" name="josh " dataDxfId="30"/>
    <tableColumn id="23" name="lindsey " dataDxfId="29"/>
    <tableColumn id="24" name="sequential " dataDxfId="28"/>
    <tableColumn id="25" name="sophie " dataDxfId="27"/>
    <tableColumn id="26" name="steve " dataDxfId="26"/>
    <tableColumn id="27" name="steven " dataDxfId="25"/>
    <tableColumn id="28" name="sun " dataDxfId="24"/>
    <tableColumn id="29" name="susi " dataDxfId="23"/>
    <tableColumn id="30" name="susu " dataDxfId="22"/>
    <tableColumn id="31" name="tang " dataDxfId="21"/>
    <tableColumn id="32" name="yang " dataDxfId="20"/>
  </tableColumns>
  <tableStyleInfo name="TableStyleLight4" showFirstColumn="0" showLastColumn="0" showRowStripes="1" showColumnStripes="0"/>
</table>
</file>

<file path=xl/tables/table2.xml><?xml version="1.0" encoding="utf-8"?>
<table xmlns="http://schemas.openxmlformats.org/spreadsheetml/2006/main" id="12" name="Table12" displayName="Table12" ref="A1:AG17" totalsRowShown="0">
  <autoFilter ref="A1:AG17"/>
  <sortState ref="A5:AH20">
    <sortCondition ref="A25:A41"/>
  </sortState>
  <tableColumns count="33">
    <tableColumn id="1" name="Player"/>
    <tableColumn id="2" name="andy" dataDxfId="19"/>
    <tableColumn id="3" name="brandon" dataDxfId="18"/>
    <tableColumn id="4" name="brian" dataDxfId="17"/>
    <tableColumn id="5" name="cade" dataDxfId="16"/>
    <tableColumn id="6" name="darwin" dataDxfId="15"/>
    <tableColumn id="7" name="josh" dataDxfId="14"/>
    <tableColumn id="8" name="lindsey" dataDxfId="13"/>
    <tableColumn id="9" name="sequential" dataDxfId="12"/>
    <tableColumn id="10" name="sophie" dataDxfId="11"/>
    <tableColumn id="11" name="steve" dataDxfId="10"/>
    <tableColumn id="12" name="steven" dataDxfId="9"/>
    <tableColumn id="13" name="sun" dataDxfId="8"/>
    <tableColumn id="14" name="susi" dataDxfId="7"/>
    <tableColumn id="15" name="susu" dataDxfId="6"/>
    <tableColumn id="16" name="tang" dataDxfId="5"/>
    <tableColumn id="17" name="yang" dataDxfId="4"/>
    <tableColumn id="19" name="andy "/>
    <tableColumn id="20" name="brandon "/>
    <tableColumn id="21" name="brian "/>
    <tableColumn id="22" name="cade "/>
    <tableColumn id="23" name="darwin "/>
    <tableColumn id="24" name="josh "/>
    <tableColumn id="25" name="lindsey "/>
    <tableColumn id="26" name="sequential "/>
    <tableColumn id="27" name="sophie "/>
    <tableColumn id="28" name="steve "/>
    <tableColumn id="29" name="steven "/>
    <tableColumn id="30" name="sun "/>
    <tableColumn id="31" name="susi "/>
    <tableColumn id="32" name="susu "/>
    <tableColumn id="33" name="tang "/>
    <tableColumn id="34" name="yang "/>
  </tableColumns>
  <tableStyleInfo name="TableStyleLight4" showFirstColumn="0" showLastColumn="0" showRowStripes="1" showColumnStripes="0"/>
</table>
</file>

<file path=xl/tables/table3.xml><?xml version="1.0" encoding="utf-8"?>
<table xmlns="http://schemas.openxmlformats.org/spreadsheetml/2006/main" id="1" name="Table1" displayName="Table1" ref="A1:C9" totalsRowShown="0">
  <autoFilter ref="A1:C9"/>
  <tableColumns count="3">
    <tableColumn id="1" name="Map"/>
    <tableColumn id="2" name="Count" dataDxfId="3"/>
    <tableColumn id="3" name="Percentage" dataDxfId="2"/>
  </tableColumns>
  <tableStyleInfo name="TableStyleLight4" showFirstColumn="0" showLastColumn="0" showRowStripes="1" showColumnStripes="0"/>
</table>
</file>

<file path=xl/tables/table4.xml><?xml version="1.0" encoding="utf-8"?>
<table xmlns="http://schemas.openxmlformats.org/spreadsheetml/2006/main" id="8" name="Table8" displayName="Table8" ref="A1:D17" totalsRowShown="0">
  <autoFilter ref="A1:D17"/>
  <sortState ref="A4:D19">
    <sortCondition ref="A3:A19"/>
  </sortState>
  <tableColumns count="4">
    <tableColumn id="1" name="Player"/>
    <tableColumn id="2" name="Win Rate" dataDxfId="1"/>
    <tableColumn id="3" name="Total Wins"/>
    <tableColumn id="4" name="Total Games" dataDxfId="0"/>
  </tableColumns>
  <tableStyleInfo name="TableStyleLight4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Aspect">
      <a:dk1>
        <a:sysClr val="windowText" lastClr="000000"/>
      </a:dk1>
      <a:lt1>
        <a:sysClr val="window" lastClr="FFFFFF"/>
      </a:lt1>
      <a:dk2>
        <a:srgbClr val="323232"/>
      </a:dk2>
      <a:lt2>
        <a:srgbClr val="E3DED1"/>
      </a:lt2>
      <a:accent1>
        <a:srgbClr val="F07F09"/>
      </a:accent1>
      <a:accent2>
        <a:srgbClr val="9F2936"/>
      </a:accent2>
      <a:accent3>
        <a:srgbClr val="1B587C"/>
      </a:accent3>
      <a:accent4>
        <a:srgbClr val="4E8542"/>
      </a:accent4>
      <a:accent5>
        <a:srgbClr val="604878"/>
      </a:accent5>
      <a:accent6>
        <a:srgbClr val="C19859"/>
      </a:accent6>
      <a:hlink>
        <a:srgbClr val="6B9F25"/>
      </a:hlink>
      <a:folHlink>
        <a:srgbClr val="B26B0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>
    <tabColor rgb="FFFFFF00"/>
  </sheetPr>
  <dimension ref="A1:AT366"/>
  <sheetViews>
    <sheetView tabSelected="1" zoomScale="85" zoomScaleNormal="85" workbookViewId="0">
      <pane xSplit="1" ySplit="13" topLeftCell="B14" activePane="bottomRight" state="frozen"/>
      <selection pane="topRight" activeCell="B1" sqref="B1"/>
      <selection pane="bottomLeft" activeCell="A14" sqref="A14"/>
      <selection pane="bottomRight" activeCell="G30" sqref="G30"/>
    </sheetView>
  </sheetViews>
  <sheetFormatPr defaultRowHeight="15" x14ac:dyDescent="0.25"/>
  <cols>
    <col min="1" max="1" width="15.140625" style="1" bestFit="1" customWidth="1"/>
    <col min="2" max="4" width="9.140625" style="1"/>
    <col min="5" max="5" width="9" style="1" customWidth="1"/>
    <col min="6" max="45" width="9.140625" style="1"/>
    <col min="46" max="46" width="10.85546875" style="1" bestFit="1" customWidth="1"/>
    <col min="47" max="16384" width="9.140625" style="1"/>
  </cols>
  <sheetData>
    <row r="1" spans="1:46" x14ac:dyDescent="0.25">
      <c r="A1" s="3" t="s">
        <v>96</v>
      </c>
    </row>
    <row r="2" spans="1:46" s="25" customFormat="1" x14ac:dyDescent="0.25">
      <c r="A2" s="26" t="s">
        <v>0</v>
      </c>
      <c r="B2" s="25">
        <v>44845</v>
      </c>
      <c r="C2" s="25">
        <v>44845</v>
      </c>
      <c r="D2" s="25">
        <v>44852</v>
      </c>
      <c r="E2" s="25">
        <v>44855</v>
      </c>
      <c r="F2" s="25">
        <v>44856</v>
      </c>
      <c r="G2" s="25">
        <v>44856</v>
      </c>
      <c r="H2" s="25">
        <v>44856</v>
      </c>
      <c r="I2" s="25">
        <v>44856</v>
      </c>
      <c r="J2" s="25">
        <v>44857</v>
      </c>
      <c r="K2" s="25">
        <v>44857</v>
      </c>
      <c r="L2" s="25">
        <v>44871</v>
      </c>
      <c r="M2" s="25">
        <v>44877</v>
      </c>
      <c r="N2" s="25">
        <v>44877</v>
      </c>
      <c r="O2" s="25">
        <v>44877</v>
      </c>
      <c r="P2" s="25">
        <v>44878</v>
      </c>
      <c r="Q2" s="25">
        <v>44878</v>
      </c>
      <c r="R2" s="25">
        <v>44879</v>
      </c>
      <c r="S2" s="25">
        <v>44883</v>
      </c>
      <c r="T2" s="25">
        <v>44883</v>
      </c>
      <c r="U2" s="25">
        <v>44883</v>
      </c>
      <c r="V2" s="25">
        <v>44884</v>
      </c>
      <c r="W2" s="25">
        <v>44885</v>
      </c>
      <c r="X2" s="25">
        <v>44885</v>
      </c>
      <c r="Y2" s="25">
        <v>44885</v>
      </c>
      <c r="Z2" s="25">
        <v>44885</v>
      </c>
      <c r="AA2" s="25">
        <v>44890</v>
      </c>
      <c r="AB2" s="25">
        <v>44890</v>
      </c>
      <c r="AC2" s="25">
        <v>44891</v>
      </c>
      <c r="AD2" s="25">
        <v>44891</v>
      </c>
      <c r="AE2" s="25">
        <v>44897</v>
      </c>
      <c r="AF2" s="25">
        <v>44898</v>
      </c>
      <c r="AG2" s="25">
        <v>44898</v>
      </c>
      <c r="AH2" s="25">
        <v>44898</v>
      </c>
      <c r="AI2" s="25">
        <v>44899</v>
      </c>
      <c r="AJ2" s="25">
        <v>44899</v>
      </c>
      <c r="AK2" s="25">
        <v>44900</v>
      </c>
      <c r="AL2" s="25">
        <v>44904</v>
      </c>
      <c r="AM2" s="25">
        <v>44905</v>
      </c>
      <c r="AN2" s="25">
        <v>44905</v>
      </c>
      <c r="AO2" s="25">
        <v>44905</v>
      </c>
      <c r="AP2" s="25">
        <v>44905</v>
      </c>
      <c r="AQ2" s="25">
        <v>44906</v>
      </c>
      <c r="AR2" s="25">
        <v>44906</v>
      </c>
      <c r="AS2" s="25">
        <v>44911</v>
      </c>
      <c r="AT2" s="25">
        <v>44911</v>
      </c>
    </row>
    <row r="3" spans="1:46" s="22" customFormat="1" x14ac:dyDescent="0.25">
      <c r="A3" s="21" t="s">
        <v>1</v>
      </c>
      <c r="B3" s="22" t="s">
        <v>14</v>
      </c>
      <c r="C3" s="22" t="s">
        <v>2</v>
      </c>
      <c r="D3" s="22" t="s">
        <v>19</v>
      </c>
      <c r="E3" s="22" t="s">
        <v>20</v>
      </c>
      <c r="F3" s="22" t="s">
        <v>2</v>
      </c>
      <c r="G3" s="22" t="s">
        <v>14</v>
      </c>
      <c r="H3" s="22" t="s">
        <v>2</v>
      </c>
      <c r="I3" s="22" t="s">
        <v>17</v>
      </c>
      <c r="J3" s="22" t="s">
        <v>17</v>
      </c>
      <c r="K3" s="22" t="s">
        <v>19</v>
      </c>
      <c r="L3" s="22" t="s">
        <v>2</v>
      </c>
      <c r="M3" s="22" t="s">
        <v>14</v>
      </c>
      <c r="N3" s="22" t="s">
        <v>20</v>
      </c>
      <c r="O3" s="22" t="s">
        <v>17</v>
      </c>
      <c r="P3" s="22" t="s">
        <v>19</v>
      </c>
      <c r="Q3" s="22" t="s">
        <v>14</v>
      </c>
      <c r="R3" s="22" t="s">
        <v>17</v>
      </c>
      <c r="S3" s="22" t="s">
        <v>25</v>
      </c>
      <c r="T3" s="22" t="s">
        <v>2</v>
      </c>
      <c r="U3" s="22" t="s">
        <v>17</v>
      </c>
      <c r="V3" s="22" t="s">
        <v>21</v>
      </c>
      <c r="W3" s="22" t="s">
        <v>13</v>
      </c>
      <c r="X3" s="22" t="s">
        <v>20</v>
      </c>
      <c r="Y3" s="22" t="s">
        <v>25</v>
      </c>
      <c r="Z3" s="22" t="s">
        <v>19</v>
      </c>
      <c r="AA3" s="22" t="s">
        <v>13</v>
      </c>
      <c r="AB3" s="22" t="s">
        <v>20</v>
      </c>
      <c r="AC3" s="22" t="s">
        <v>14</v>
      </c>
      <c r="AD3" s="22" t="s">
        <v>25</v>
      </c>
      <c r="AE3" s="22" t="s">
        <v>2</v>
      </c>
      <c r="AF3" s="22" t="s">
        <v>17</v>
      </c>
      <c r="AG3" s="22" t="s">
        <v>21</v>
      </c>
      <c r="AH3" s="22" t="s">
        <v>14</v>
      </c>
      <c r="AI3" s="22" t="s">
        <v>20</v>
      </c>
      <c r="AJ3" s="22" t="s">
        <v>13</v>
      </c>
      <c r="AK3" s="22" t="s">
        <v>19</v>
      </c>
      <c r="AL3" s="22" t="s">
        <v>17</v>
      </c>
      <c r="AM3" s="22" t="s">
        <v>2</v>
      </c>
      <c r="AN3" s="22" t="s">
        <v>14</v>
      </c>
      <c r="AO3" s="22" t="s">
        <v>17</v>
      </c>
      <c r="AP3" s="22" t="s">
        <v>14</v>
      </c>
      <c r="AQ3" s="22" t="s">
        <v>13</v>
      </c>
      <c r="AR3" s="22" t="s">
        <v>2</v>
      </c>
      <c r="AS3" s="22" t="s">
        <v>21</v>
      </c>
      <c r="AT3" s="22" t="s">
        <v>25</v>
      </c>
    </row>
    <row r="4" spans="1:46" s="24" customFormat="1" x14ac:dyDescent="0.25">
      <c r="A4" s="23" t="s">
        <v>150</v>
      </c>
      <c r="B4" s="24" t="s">
        <v>7</v>
      </c>
      <c r="C4" s="24" t="s">
        <v>11</v>
      </c>
      <c r="D4" s="24" t="s">
        <v>3</v>
      </c>
      <c r="E4" s="24" t="s">
        <v>4</v>
      </c>
      <c r="F4" s="24" t="s">
        <v>8</v>
      </c>
      <c r="G4" s="24" t="s">
        <v>3</v>
      </c>
      <c r="H4" s="24" t="s">
        <v>3</v>
      </c>
      <c r="I4" s="24" t="s">
        <v>8</v>
      </c>
      <c r="J4" s="24" t="s">
        <v>6</v>
      </c>
      <c r="K4" s="24" t="s">
        <v>5</v>
      </c>
      <c r="L4" s="24" t="s">
        <v>9</v>
      </c>
      <c r="M4" s="24" t="s">
        <v>8</v>
      </c>
      <c r="N4" s="24" t="s">
        <v>3</v>
      </c>
      <c r="O4" s="24" t="s">
        <v>8</v>
      </c>
      <c r="P4" s="24" t="s">
        <v>8</v>
      </c>
      <c r="Q4" s="24" t="s">
        <v>11</v>
      </c>
      <c r="R4" s="24" t="s">
        <v>3</v>
      </c>
      <c r="S4" s="24" t="s">
        <v>7</v>
      </c>
      <c r="T4" s="24" t="s">
        <v>8</v>
      </c>
      <c r="U4" s="24" t="s">
        <v>7</v>
      </c>
      <c r="V4" s="24" t="s">
        <v>4</v>
      </c>
      <c r="W4" s="24" t="s">
        <v>5</v>
      </c>
      <c r="X4" s="24" t="s">
        <v>8</v>
      </c>
      <c r="Y4" s="24" t="s">
        <v>3</v>
      </c>
      <c r="Z4" s="24" t="s">
        <v>12</v>
      </c>
      <c r="AA4" s="24" t="s">
        <v>3</v>
      </c>
      <c r="AB4" s="24" t="s">
        <v>7</v>
      </c>
      <c r="AC4" s="24" t="s">
        <v>7</v>
      </c>
      <c r="AD4" s="24" t="s">
        <v>8</v>
      </c>
      <c r="AE4" s="24" t="s">
        <v>5</v>
      </c>
      <c r="AF4" s="24" t="s">
        <v>3</v>
      </c>
      <c r="AG4" s="24" t="s">
        <v>11</v>
      </c>
      <c r="AH4" s="24" t="s">
        <v>11</v>
      </c>
      <c r="AI4" s="24" t="s">
        <v>22</v>
      </c>
      <c r="AJ4" s="24" t="s">
        <v>22</v>
      </c>
      <c r="AK4" s="24" t="s">
        <v>9</v>
      </c>
      <c r="AL4" s="24" t="s">
        <v>3</v>
      </c>
      <c r="AM4" s="24" t="s">
        <v>8</v>
      </c>
      <c r="AN4" s="24" t="s">
        <v>8</v>
      </c>
      <c r="AO4" s="24" t="s">
        <v>3</v>
      </c>
      <c r="AP4" s="24" t="s">
        <v>5</v>
      </c>
      <c r="AQ4" s="24" t="s">
        <v>3</v>
      </c>
      <c r="AR4" s="24" t="s">
        <v>3</v>
      </c>
      <c r="AS4" s="24" t="s">
        <v>8</v>
      </c>
      <c r="AT4" s="24" t="s">
        <v>8</v>
      </c>
    </row>
    <row r="5" spans="1:46" s="24" customFormat="1" x14ac:dyDescent="0.25">
      <c r="B5" s="24" t="s">
        <v>9</v>
      </c>
      <c r="C5" s="24" t="s">
        <v>7</v>
      </c>
      <c r="D5" s="24" t="s">
        <v>22</v>
      </c>
      <c r="E5" s="24" t="s">
        <v>9</v>
      </c>
      <c r="F5" s="24" t="s">
        <v>24</v>
      </c>
      <c r="G5" s="24" t="s">
        <v>7</v>
      </c>
      <c r="H5" s="24" t="s">
        <v>7</v>
      </c>
      <c r="I5" s="24" t="s">
        <v>7</v>
      </c>
      <c r="J5" s="24" t="s">
        <v>9</v>
      </c>
      <c r="K5" s="24" t="s">
        <v>6</v>
      </c>
      <c r="L5" s="24" t="s">
        <v>7</v>
      </c>
      <c r="M5" s="24" t="s">
        <v>4</v>
      </c>
      <c r="N5" s="24" t="s">
        <v>5</v>
      </c>
      <c r="O5" s="24" t="s">
        <v>22</v>
      </c>
      <c r="P5" s="24" t="s">
        <v>6</v>
      </c>
      <c r="Q5" s="24" t="s">
        <v>3</v>
      </c>
      <c r="R5" s="24" t="s">
        <v>7</v>
      </c>
      <c r="S5" s="24" t="s">
        <v>9</v>
      </c>
      <c r="T5" s="24" t="s">
        <v>23</v>
      </c>
      <c r="U5" s="24" t="s">
        <v>4</v>
      </c>
      <c r="V5" s="24" t="s">
        <v>3</v>
      </c>
      <c r="W5" s="24" t="s">
        <v>23</v>
      </c>
      <c r="X5" s="24" t="s">
        <v>11</v>
      </c>
      <c r="Y5" s="24" t="s">
        <v>22</v>
      </c>
      <c r="Z5" s="24" t="s">
        <v>3</v>
      </c>
      <c r="AA5" s="24" t="s">
        <v>7</v>
      </c>
      <c r="AB5" s="24" t="s">
        <v>3</v>
      </c>
      <c r="AC5" s="24" t="s">
        <v>3</v>
      </c>
      <c r="AD5" s="24" t="s">
        <v>26</v>
      </c>
      <c r="AE5" s="24" t="s">
        <v>9</v>
      </c>
      <c r="AF5" s="24" t="s">
        <v>23</v>
      </c>
      <c r="AG5" s="24" t="s">
        <v>4</v>
      </c>
      <c r="AH5" s="24" t="s">
        <v>3</v>
      </c>
      <c r="AI5" s="24" t="s">
        <v>6</v>
      </c>
      <c r="AJ5" s="24" t="s">
        <v>5</v>
      </c>
      <c r="AK5" s="24" t="s">
        <v>11</v>
      </c>
      <c r="AL5" s="24" t="s">
        <v>7</v>
      </c>
      <c r="AM5" s="24" t="s">
        <v>7</v>
      </c>
      <c r="AN5" s="24" t="s">
        <v>3</v>
      </c>
      <c r="AO5" s="24" t="s">
        <v>7</v>
      </c>
      <c r="AP5" s="24" t="s">
        <v>8</v>
      </c>
      <c r="AQ5" s="24" t="s">
        <v>7</v>
      </c>
      <c r="AR5" s="24" t="s">
        <v>4</v>
      </c>
      <c r="AS5" s="24" t="s">
        <v>3</v>
      </c>
      <c r="AT5" s="24" t="s">
        <v>23</v>
      </c>
    </row>
    <row r="6" spans="1:46" s="24" customFormat="1" x14ac:dyDescent="0.25">
      <c r="B6" s="24" t="s">
        <v>4</v>
      </c>
      <c r="C6" s="24" t="s">
        <v>5</v>
      </c>
      <c r="D6" s="24" t="s">
        <v>11</v>
      </c>
      <c r="E6" s="24" t="s">
        <v>22</v>
      </c>
      <c r="F6" s="24" t="s">
        <v>4</v>
      </c>
      <c r="G6" s="24" t="s">
        <v>12</v>
      </c>
      <c r="H6" s="24" t="s">
        <v>22</v>
      </c>
      <c r="I6" s="24" t="s">
        <v>4</v>
      </c>
      <c r="J6" s="24" t="s">
        <v>22</v>
      </c>
      <c r="K6" s="24" t="s">
        <v>22</v>
      </c>
      <c r="L6" s="24" t="s">
        <v>4</v>
      </c>
      <c r="M6" s="24" t="s">
        <v>26</v>
      </c>
      <c r="N6" s="24" t="s">
        <v>22</v>
      </c>
      <c r="O6" s="24" t="s">
        <v>5</v>
      </c>
      <c r="P6" s="24" t="s">
        <v>22</v>
      </c>
      <c r="R6" s="24" t="s">
        <v>6</v>
      </c>
      <c r="S6" s="24" t="s">
        <v>22</v>
      </c>
      <c r="T6" s="24" t="s">
        <v>5</v>
      </c>
      <c r="U6" s="24" t="s">
        <v>22</v>
      </c>
      <c r="V6" s="24" t="s">
        <v>5</v>
      </c>
      <c r="W6" s="24" t="s">
        <v>6</v>
      </c>
      <c r="X6" s="24" t="s">
        <v>3</v>
      </c>
      <c r="Y6" s="24" t="s">
        <v>5</v>
      </c>
      <c r="Z6" s="24" t="s">
        <v>9</v>
      </c>
      <c r="AA6" s="24" t="s">
        <v>11</v>
      </c>
      <c r="AB6" s="24" t="s">
        <v>11</v>
      </c>
      <c r="AC6" s="24" t="s">
        <v>23</v>
      </c>
      <c r="AD6" s="24" t="s">
        <v>23</v>
      </c>
      <c r="AE6" s="24" t="s">
        <v>6</v>
      </c>
      <c r="AF6" s="24" t="s">
        <v>6</v>
      </c>
      <c r="AG6" s="24" t="s">
        <v>6</v>
      </c>
      <c r="AH6" s="24" t="s">
        <v>23</v>
      </c>
      <c r="AI6" s="24" t="s">
        <v>3</v>
      </c>
      <c r="AJ6" s="24" t="s">
        <v>4</v>
      </c>
      <c r="AK6" s="24" t="s">
        <v>6</v>
      </c>
      <c r="AL6" s="24" t="s">
        <v>4</v>
      </c>
      <c r="AM6" s="24" t="s">
        <v>3</v>
      </c>
      <c r="AN6" s="24" t="s">
        <v>7</v>
      </c>
      <c r="AO6" s="24" t="s">
        <v>11</v>
      </c>
      <c r="AP6" s="24" t="s">
        <v>7</v>
      </c>
      <c r="AQ6" s="24" t="s">
        <v>4</v>
      </c>
      <c r="AR6" s="24" t="s">
        <v>5</v>
      </c>
      <c r="AS6" s="24" t="s">
        <v>4</v>
      </c>
      <c r="AT6" s="24" t="s">
        <v>5</v>
      </c>
    </row>
    <row r="7" spans="1:46" s="24" customFormat="1" x14ac:dyDescent="0.25">
      <c r="B7" s="24" t="s">
        <v>22</v>
      </c>
      <c r="C7" s="24" t="s">
        <v>23</v>
      </c>
      <c r="D7" s="24" t="s">
        <v>6</v>
      </c>
      <c r="E7" s="24" t="s">
        <v>12</v>
      </c>
      <c r="F7" s="24" t="s">
        <v>26</v>
      </c>
      <c r="G7" s="24" t="s">
        <v>4</v>
      </c>
      <c r="H7" s="24" t="s">
        <v>4</v>
      </c>
      <c r="I7" s="24" t="s">
        <v>24</v>
      </c>
      <c r="J7" s="24" t="s">
        <v>5</v>
      </c>
      <c r="K7" s="24" t="s">
        <v>7</v>
      </c>
      <c r="L7" s="24" t="s">
        <v>5</v>
      </c>
      <c r="M7" s="24" t="s">
        <v>23</v>
      </c>
      <c r="N7" s="24" t="s">
        <v>4</v>
      </c>
      <c r="O7" s="24" t="s">
        <v>16</v>
      </c>
      <c r="P7" s="24" t="s">
        <v>24</v>
      </c>
      <c r="Q7" s="24" t="s">
        <v>22</v>
      </c>
      <c r="R7" s="24" t="s">
        <v>5</v>
      </c>
      <c r="S7" s="24" t="s">
        <v>6</v>
      </c>
      <c r="T7" s="24" t="s">
        <v>12</v>
      </c>
      <c r="U7" s="24" t="s">
        <v>5</v>
      </c>
      <c r="V7" s="24" t="s">
        <v>16</v>
      </c>
      <c r="W7" s="24" t="s">
        <v>4</v>
      </c>
      <c r="X7" s="24" t="s">
        <v>7</v>
      </c>
      <c r="Y7" s="24" t="s">
        <v>6</v>
      </c>
      <c r="Z7" s="24" t="s">
        <v>4</v>
      </c>
      <c r="AA7" s="24" t="s">
        <v>12</v>
      </c>
      <c r="AB7" s="24" t="s">
        <v>12</v>
      </c>
      <c r="AC7" s="24" t="s">
        <v>6</v>
      </c>
      <c r="AD7" s="24" t="s">
        <v>24</v>
      </c>
      <c r="AE7" s="24" t="s">
        <v>7</v>
      </c>
      <c r="AF7" s="24" t="s">
        <v>4</v>
      </c>
      <c r="AG7" s="24" t="s">
        <v>5</v>
      </c>
      <c r="AH7" s="24" t="s">
        <v>12</v>
      </c>
      <c r="AI7" s="24" t="s">
        <v>4</v>
      </c>
      <c r="AJ7" s="24" t="s">
        <v>6</v>
      </c>
      <c r="AK7" s="24" t="s">
        <v>23</v>
      </c>
      <c r="AL7" s="24" t="s">
        <v>12</v>
      </c>
      <c r="AM7" s="24" t="s">
        <v>12</v>
      </c>
      <c r="AN7" s="24" t="s">
        <v>12</v>
      </c>
      <c r="AO7" s="24" t="s">
        <v>18</v>
      </c>
      <c r="AP7" s="24" t="s">
        <v>6</v>
      </c>
      <c r="AQ7" s="24" t="s">
        <v>5</v>
      </c>
      <c r="AR7" s="24" t="s">
        <v>6</v>
      </c>
      <c r="AS7" s="24" t="s">
        <v>5</v>
      </c>
      <c r="AT7" s="24" t="s">
        <v>4</v>
      </c>
    </row>
    <row r="8" spans="1:46" s="22" customFormat="1" x14ac:dyDescent="0.25">
      <c r="B8" s="22" t="s">
        <v>12</v>
      </c>
      <c r="C8" s="22" t="s">
        <v>12</v>
      </c>
      <c r="D8" s="22" t="s">
        <v>12</v>
      </c>
      <c r="F8" s="22" t="s">
        <v>16</v>
      </c>
      <c r="G8" s="22" t="s">
        <v>6</v>
      </c>
      <c r="H8" s="22" t="s">
        <v>16</v>
      </c>
      <c r="J8" s="22" t="s">
        <v>12</v>
      </c>
      <c r="K8" s="22" t="s">
        <v>4</v>
      </c>
      <c r="L8" s="22" t="s">
        <v>16</v>
      </c>
      <c r="M8" s="22" t="s">
        <v>24</v>
      </c>
      <c r="N8" s="22" t="s">
        <v>12</v>
      </c>
      <c r="O8" s="22" t="s">
        <v>4</v>
      </c>
      <c r="P8" s="22" t="s">
        <v>12</v>
      </c>
      <c r="Q8" s="22" t="s">
        <v>24</v>
      </c>
      <c r="R8" s="22" t="s">
        <v>12</v>
      </c>
      <c r="S8" s="22" t="s">
        <v>4</v>
      </c>
      <c r="T8" s="22" t="s">
        <v>4</v>
      </c>
      <c r="U8" s="22" t="s">
        <v>16</v>
      </c>
      <c r="V8" s="22" t="s">
        <v>12</v>
      </c>
      <c r="W8" s="22" t="s">
        <v>22</v>
      </c>
      <c r="X8" s="22" t="s">
        <v>12</v>
      </c>
      <c r="Y8" s="22" t="s">
        <v>12</v>
      </c>
      <c r="Z8" s="22" t="s">
        <v>6</v>
      </c>
      <c r="AA8" s="22" t="s">
        <v>16</v>
      </c>
      <c r="AB8" s="22" t="s">
        <v>16</v>
      </c>
      <c r="AC8" s="22" t="s">
        <v>5</v>
      </c>
      <c r="AE8" s="22" t="s">
        <v>12</v>
      </c>
      <c r="AF8" s="22" t="s">
        <v>16</v>
      </c>
      <c r="AG8" s="22" t="s">
        <v>16</v>
      </c>
      <c r="AH8" s="22" t="s">
        <v>18</v>
      </c>
      <c r="AI8" s="22" t="s">
        <v>5</v>
      </c>
      <c r="AJ8" s="22" t="s">
        <v>24</v>
      </c>
      <c r="AK8" s="22" t="s">
        <v>5</v>
      </c>
      <c r="AL8" s="22" t="s">
        <v>16</v>
      </c>
      <c r="AO8" s="22" t="s">
        <v>16</v>
      </c>
      <c r="AP8" s="22" t="s">
        <v>16</v>
      </c>
      <c r="AQ8" s="22" t="s">
        <v>6</v>
      </c>
      <c r="AR8" s="22" t="s">
        <v>7</v>
      </c>
      <c r="AS8" s="22" t="s">
        <v>18</v>
      </c>
      <c r="AT8" s="22" t="s">
        <v>16</v>
      </c>
    </row>
    <row r="9" spans="1:46" s="24" customFormat="1" x14ac:dyDescent="0.25">
      <c r="A9" s="23" t="s">
        <v>151</v>
      </c>
      <c r="B9" s="24" t="s">
        <v>5</v>
      </c>
      <c r="C9" s="24" t="s">
        <v>9</v>
      </c>
      <c r="E9" s="24" t="s">
        <v>3</v>
      </c>
      <c r="F9" s="24" t="s">
        <v>6</v>
      </c>
      <c r="G9" s="24" t="s">
        <v>5</v>
      </c>
      <c r="H9" s="24" t="s">
        <v>8</v>
      </c>
      <c r="I9" s="24" t="s">
        <v>3</v>
      </c>
      <c r="J9" s="24" t="s">
        <v>3</v>
      </c>
      <c r="K9" s="24" t="s">
        <v>24</v>
      </c>
      <c r="L9" s="24" t="s">
        <v>3</v>
      </c>
      <c r="M9" s="24" t="s">
        <v>5</v>
      </c>
      <c r="N9" s="24" t="s">
        <v>8</v>
      </c>
      <c r="O9" s="24" t="s">
        <v>3</v>
      </c>
      <c r="P9" s="24" t="s">
        <v>4</v>
      </c>
      <c r="Q9" s="24" t="s">
        <v>8</v>
      </c>
      <c r="R9" s="24" t="s">
        <v>24</v>
      </c>
      <c r="S9" s="24" t="s">
        <v>23</v>
      </c>
      <c r="T9" s="24" t="s">
        <v>7</v>
      </c>
      <c r="U9" s="24" t="s">
        <v>23</v>
      </c>
      <c r="V9" s="24" t="s">
        <v>11</v>
      </c>
      <c r="W9" s="24" t="s">
        <v>3</v>
      </c>
      <c r="X9" s="24" t="s">
        <v>22</v>
      </c>
      <c r="Y9" s="24" t="s">
        <v>8</v>
      </c>
      <c r="Z9" s="24" t="s">
        <v>8</v>
      </c>
      <c r="AA9" s="24" t="s">
        <v>9</v>
      </c>
      <c r="AB9" s="24" t="s">
        <v>4</v>
      </c>
      <c r="AC9" s="24" t="s">
        <v>8</v>
      </c>
      <c r="AD9" s="24" t="s">
        <v>4</v>
      </c>
      <c r="AE9" s="24" t="s">
        <v>22</v>
      </c>
      <c r="AF9" s="24" t="s">
        <v>11</v>
      </c>
      <c r="AG9" s="24" t="s">
        <v>3</v>
      </c>
      <c r="AH9" s="24" t="s">
        <v>4</v>
      </c>
      <c r="AI9" s="24" t="s">
        <v>8</v>
      </c>
      <c r="AJ9" s="24" t="s">
        <v>8</v>
      </c>
      <c r="AK9" s="24" t="s">
        <v>3</v>
      </c>
      <c r="AL9" s="24" t="s">
        <v>9</v>
      </c>
      <c r="AM9" s="24" t="s">
        <v>23</v>
      </c>
      <c r="AN9" s="24" t="s">
        <v>4</v>
      </c>
      <c r="AO9" s="24" t="s">
        <v>8</v>
      </c>
      <c r="AP9" s="24" t="s">
        <v>3</v>
      </c>
      <c r="AQ9" s="24" t="s">
        <v>8</v>
      </c>
      <c r="AR9" s="24" t="s">
        <v>8</v>
      </c>
      <c r="AS9" s="24" t="s">
        <v>7</v>
      </c>
      <c r="AT9" s="24" t="s">
        <v>22</v>
      </c>
    </row>
    <row r="10" spans="1:46" s="24" customFormat="1" x14ac:dyDescent="0.25">
      <c r="B10" s="24" t="s">
        <v>11</v>
      </c>
      <c r="C10" s="24" t="s">
        <v>6</v>
      </c>
      <c r="D10" s="24" t="s">
        <v>5</v>
      </c>
      <c r="E10" s="24" t="s">
        <v>26</v>
      </c>
      <c r="F10" s="24" t="s">
        <v>22</v>
      </c>
      <c r="G10" s="24" t="s">
        <v>22</v>
      </c>
      <c r="H10" s="24" t="s">
        <v>5</v>
      </c>
      <c r="I10" s="24" t="s">
        <v>5</v>
      </c>
      <c r="J10" s="24" t="s">
        <v>11</v>
      </c>
      <c r="K10" s="24" t="s">
        <v>8</v>
      </c>
      <c r="L10" s="24" t="s">
        <v>22</v>
      </c>
      <c r="M10" s="24" t="s">
        <v>16</v>
      </c>
      <c r="N10" s="24" t="s">
        <v>16</v>
      </c>
      <c r="O10" s="24" t="s">
        <v>26</v>
      </c>
      <c r="P10" s="24" t="s">
        <v>5</v>
      </c>
      <c r="Q10" s="24" t="s">
        <v>6</v>
      </c>
      <c r="R10" s="24" t="s">
        <v>11</v>
      </c>
      <c r="S10" s="24" t="s">
        <v>8</v>
      </c>
      <c r="T10" s="24" t="s">
        <v>9</v>
      </c>
      <c r="U10" s="24" t="s">
        <v>9</v>
      </c>
      <c r="V10" s="24" t="s">
        <v>22</v>
      </c>
      <c r="W10" s="24" t="s">
        <v>7</v>
      </c>
      <c r="X10" s="24" t="s">
        <v>23</v>
      </c>
      <c r="Y10" s="24" t="s">
        <v>24</v>
      </c>
      <c r="Z10" s="24" t="s">
        <v>22</v>
      </c>
      <c r="AA10" s="24" t="s">
        <v>4</v>
      </c>
      <c r="AB10" s="24" t="s">
        <v>23</v>
      </c>
      <c r="AC10" s="24" t="s">
        <v>9</v>
      </c>
      <c r="AD10" s="24" t="s">
        <v>3</v>
      </c>
      <c r="AE10" s="24" t="s">
        <v>3</v>
      </c>
      <c r="AF10" s="24" t="s">
        <v>22</v>
      </c>
      <c r="AG10" s="24" t="s">
        <v>22</v>
      </c>
      <c r="AH10" s="24" t="s">
        <v>6</v>
      </c>
      <c r="AI10" s="24" t="s">
        <v>10</v>
      </c>
      <c r="AJ10" s="24" t="s">
        <v>3</v>
      </c>
      <c r="AK10" s="24" t="s">
        <v>4</v>
      </c>
      <c r="AL10" s="24" t="s">
        <v>8</v>
      </c>
      <c r="AM10" s="24" t="s">
        <v>18</v>
      </c>
      <c r="AN10" s="24" t="s">
        <v>5</v>
      </c>
      <c r="AO10" s="24" t="s">
        <v>6</v>
      </c>
      <c r="AP10" s="24" t="s">
        <v>4</v>
      </c>
      <c r="AQ10" s="24" t="s">
        <v>10</v>
      </c>
      <c r="AR10" s="24" t="s">
        <v>9</v>
      </c>
      <c r="AS10" s="24" t="s">
        <v>23</v>
      </c>
      <c r="AT10" s="24" t="s">
        <v>3</v>
      </c>
    </row>
    <row r="11" spans="1:46" s="24" customFormat="1" x14ac:dyDescent="0.25">
      <c r="B11" s="24" t="s">
        <v>23</v>
      </c>
      <c r="C11" s="24" t="s">
        <v>22</v>
      </c>
      <c r="E11" s="24" t="s">
        <v>6</v>
      </c>
      <c r="F11" s="24" t="s">
        <v>3</v>
      </c>
      <c r="G11" s="24" t="s">
        <v>8</v>
      </c>
      <c r="H11" s="24" t="s">
        <v>6</v>
      </c>
      <c r="I11" s="24" t="s">
        <v>22</v>
      </c>
      <c r="J11" s="24" t="s">
        <v>16</v>
      </c>
      <c r="K11" s="24" t="s">
        <v>26</v>
      </c>
      <c r="L11" s="24" t="s">
        <v>24</v>
      </c>
      <c r="M11" s="24" t="s">
        <v>11</v>
      </c>
      <c r="N11" s="24" t="s">
        <v>26</v>
      </c>
      <c r="O11" s="24" t="s">
        <v>24</v>
      </c>
      <c r="P11" s="24" t="s">
        <v>3</v>
      </c>
      <c r="Q11" s="24" t="s">
        <v>5</v>
      </c>
      <c r="R11" s="24" t="s">
        <v>4</v>
      </c>
      <c r="S11" s="24" t="s">
        <v>5</v>
      </c>
      <c r="T11" s="24" t="s">
        <v>6</v>
      </c>
      <c r="U11" s="24" t="s">
        <v>8</v>
      </c>
      <c r="V11" s="24" t="s">
        <v>6</v>
      </c>
      <c r="W11" s="24" t="s">
        <v>12</v>
      </c>
      <c r="X11" s="24" t="s">
        <v>5</v>
      </c>
      <c r="Y11" s="24" t="s">
        <v>9</v>
      </c>
      <c r="Z11" s="24" t="s">
        <v>5</v>
      </c>
      <c r="AA11" s="24" t="s">
        <v>23</v>
      </c>
      <c r="AB11" s="24" t="s">
        <v>9</v>
      </c>
      <c r="AC11" s="24" t="s">
        <v>12</v>
      </c>
      <c r="AD11" s="24" t="s">
        <v>5</v>
      </c>
      <c r="AE11" s="24" t="s">
        <v>4</v>
      </c>
      <c r="AF11" s="24" t="s">
        <v>12</v>
      </c>
      <c r="AG11" s="24" t="s">
        <v>23</v>
      </c>
      <c r="AH11" s="24" t="s">
        <v>5</v>
      </c>
      <c r="AI11" s="24" t="s">
        <v>12</v>
      </c>
      <c r="AJ11" s="24" t="s">
        <v>23</v>
      </c>
      <c r="AK11" s="24" t="s">
        <v>7</v>
      </c>
      <c r="AL11" s="24" t="s">
        <v>5</v>
      </c>
      <c r="AM11" s="24" t="s">
        <v>4</v>
      </c>
      <c r="AN11" s="24" t="s">
        <v>22</v>
      </c>
      <c r="AO11" s="24" t="s">
        <v>5</v>
      </c>
      <c r="AP11" s="24" t="s">
        <v>11</v>
      </c>
      <c r="AQ11" s="24" t="s">
        <v>9</v>
      </c>
      <c r="AR11" s="24" t="s">
        <v>10</v>
      </c>
      <c r="AS11" s="24" t="s">
        <v>22</v>
      </c>
      <c r="AT11" s="24" t="s">
        <v>7</v>
      </c>
    </row>
    <row r="12" spans="1:46" s="24" customFormat="1" x14ac:dyDescent="0.25">
      <c r="B12" s="24" t="s">
        <v>6</v>
      </c>
      <c r="C12" s="24" t="s">
        <v>4</v>
      </c>
      <c r="D12" s="24" t="s">
        <v>7</v>
      </c>
      <c r="E12" s="24" t="s">
        <v>16</v>
      </c>
      <c r="F12" s="24" t="s">
        <v>9</v>
      </c>
      <c r="G12" s="24" t="s">
        <v>24</v>
      </c>
      <c r="H12" s="24" t="s">
        <v>24</v>
      </c>
      <c r="I12" s="24" t="s">
        <v>12</v>
      </c>
      <c r="J12" s="24" t="s">
        <v>4</v>
      </c>
      <c r="L12" s="24" t="s">
        <v>6</v>
      </c>
      <c r="M12" s="24" t="s">
        <v>3</v>
      </c>
      <c r="N12" s="24" t="s">
        <v>24</v>
      </c>
      <c r="O12" s="24" t="s">
        <v>12</v>
      </c>
      <c r="P12" s="24" t="s">
        <v>16</v>
      </c>
      <c r="Q12" s="24" t="s">
        <v>12</v>
      </c>
      <c r="R12" s="24" t="s">
        <v>22</v>
      </c>
      <c r="S12" s="24" t="s">
        <v>12</v>
      </c>
      <c r="T12" s="24" t="s">
        <v>22</v>
      </c>
      <c r="U12" s="24" t="s">
        <v>6</v>
      </c>
      <c r="V12" s="24" t="s">
        <v>23</v>
      </c>
      <c r="W12" s="24" t="s">
        <v>11</v>
      </c>
      <c r="X12" s="24" t="s">
        <v>6</v>
      </c>
      <c r="Y12" s="24" t="s">
        <v>4</v>
      </c>
      <c r="Z12" s="24" t="s">
        <v>24</v>
      </c>
      <c r="AA12" s="24" t="s">
        <v>5</v>
      </c>
      <c r="AB12" s="24" t="s">
        <v>5</v>
      </c>
      <c r="AC12" s="24" t="s">
        <v>4</v>
      </c>
      <c r="AD12" s="24" t="s">
        <v>12</v>
      </c>
      <c r="AE12" s="24" t="s">
        <v>23</v>
      </c>
      <c r="AF12" s="24" t="s">
        <v>5</v>
      </c>
      <c r="AG12" s="24" t="s">
        <v>12</v>
      </c>
      <c r="AH12" s="24" t="s">
        <v>22</v>
      </c>
      <c r="AI12" s="24" t="s">
        <v>24</v>
      </c>
      <c r="AJ12" s="24" t="s">
        <v>10</v>
      </c>
      <c r="AK12" s="24" t="s">
        <v>22</v>
      </c>
      <c r="AL12" s="24" t="s">
        <v>18</v>
      </c>
      <c r="AM12" s="24" t="s">
        <v>9</v>
      </c>
      <c r="AN12" s="24" t="s">
        <v>9</v>
      </c>
      <c r="AO12" s="24" t="s">
        <v>4</v>
      </c>
      <c r="AP12" s="24" t="s">
        <v>9</v>
      </c>
      <c r="AQ12" s="24" t="s">
        <v>12</v>
      </c>
      <c r="AR12" s="24" t="s">
        <v>11</v>
      </c>
      <c r="AS12" s="24" t="s">
        <v>16</v>
      </c>
      <c r="AT12" s="24" t="s">
        <v>12</v>
      </c>
    </row>
    <row r="13" spans="1:46" s="24" customFormat="1" x14ac:dyDescent="0.25">
      <c r="B13" s="24" t="s">
        <v>16</v>
      </c>
      <c r="C13" s="24" t="s">
        <v>16</v>
      </c>
      <c r="D13" s="24" t="s">
        <v>16</v>
      </c>
      <c r="E13" s="24" t="s">
        <v>24</v>
      </c>
      <c r="F13" s="24" t="s">
        <v>12</v>
      </c>
      <c r="G13" s="24" t="s">
        <v>16</v>
      </c>
      <c r="H13" s="24" t="s">
        <v>12</v>
      </c>
      <c r="I13" s="24" t="s">
        <v>6</v>
      </c>
      <c r="K13" s="24" t="s">
        <v>12</v>
      </c>
      <c r="L13" s="24" t="s">
        <v>12</v>
      </c>
      <c r="M13" s="24" t="s">
        <v>12</v>
      </c>
      <c r="R13" s="24" t="s">
        <v>16</v>
      </c>
      <c r="S13" s="24" t="s">
        <v>16</v>
      </c>
      <c r="T13" s="24" t="s">
        <v>16</v>
      </c>
      <c r="U13" s="24" t="s">
        <v>12</v>
      </c>
      <c r="V13" s="24" t="s">
        <v>18</v>
      </c>
      <c r="W13" s="24" t="s">
        <v>16</v>
      </c>
      <c r="X13" s="24" t="s">
        <v>4</v>
      </c>
      <c r="Y13" s="24" t="s">
        <v>16</v>
      </c>
      <c r="Z13" s="24" t="s">
        <v>16</v>
      </c>
      <c r="AA13" s="24" t="s">
        <v>6</v>
      </c>
      <c r="AB13" s="24" t="s">
        <v>6</v>
      </c>
      <c r="AC13" s="24" t="s">
        <v>24</v>
      </c>
      <c r="AD13" s="24" t="s">
        <v>16</v>
      </c>
      <c r="AE13" s="24" t="s">
        <v>16</v>
      </c>
      <c r="AF13" s="24" t="s">
        <v>18</v>
      </c>
      <c r="AG13" s="24" t="s">
        <v>18</v>
      </c>
      <c r="AH13" s="24" t="s">
        <v>16</v>
      </c>
      <c r="AI13" s="24" t="s">
        <v>23</v>
      </c>
      <c r="AJ13" s="24" t="s">
        <v>12</v>
      </c>
      <c r="AK13" s="24" t="s">
        <v>12</v>
      </c>
      <c r="AL13" s="24" t="s">
        <v>23</v>
      </c>
      <c r="AM13" s="24" t="s">
        <v>5</v>
      </c>
      <c r="AN13" s="24" t="s">
        <v>23</v>
      </c>
      <c r="AO13" s="24" t="s">
        <v>15</v>
      </c>
      <c r="AP13" s="24" t="s">
        <v>15</v>
      </c>
      <c r="AQ13" s="24" t="s">
        <v>11</v>
      </c>
      <c r="AR13" s="24" t="s">
        <v>12</v>
      </c>
      <c r="AS13" s="24" t="s">
        <v>12</v>
      </c>
      <c r="AT13" s="24" t="s">
        <v>18</v>
      </c>
    </row>
    <row r="16" spans="1:46" x14ac:dyDescent="0.25">
      <c r="A16" s="3" t="s">
        <v>148</v>
      </c>
    </row>
    <row r="17" spans="1:46" ht="15.75" thickBot="1" x14ac:dyDescent="0.3">
      <c r="A17" s="3" t="s">
        <v>27</v>
      </c>
      <c r="B17" s="1" t="s">
        <v>149</v>
      </c>
      <c r="C17" s="1" t="s">
        <v>33</v>
      </c>
      <c r="D17" s="1" t="s">
        <v>34</v>
      </c>
    </row>
    <row r="18" spans="1:46" ht="15.75" thickBot="1" x14ac:dyDescent="0.3">
      <c r="A18" s="1" t="s">
        <v>3</v>
      </c>
      <c r="B18" s="7">
        <v>0.58974358974358976</v>
      </c>
      <c r="C18" s="1">
        <v>23</v>
      </c>
      <c r="D18" s="9">
        <v>39</v>
      </c>
      <c r="M18" s="34" t="s">
        <v>161</v>
      </c>
      <c r="N18" s="35"/>
      <c r="AS18" s="2"/>
      <c r="AT18" s="5"/>
    </row>
    <row r="19" spans="1:46" x14ac:dyDescent="0.25">
      <c r="A19" s="1" t="s">
        <v>18</v>
      </c>
      <c r="B19" s="7">
        <v>0.33333333333333331</v>
      </c>
      <c r="C19" s="1">
        <v>3</v>
      </c>
      <c r="D19" s="9">
        <v>9</v>
      </c>
      <c r="M19" s="28"/>
      <c r="N19" s="29"/>
      <c r="AS19" s="2"/>
      <c r="AT19" s="5"/>
    </row>
    <row r="20" spans="1:46" x14ac:dyDescent="0.25">
      <c r="A20" s="1" t="s">
        <v>16</v>
      </c>
      <c r="B20" s="7">
        <v>0.42424242424242425</v>
      </c>
      <c r="C20" s="1">
        <v>14</v>
      </c>
      <c r="D20" s="9">
        <v>33</v>
      </c>
      <c r="M20" s="30"/>
      <c r="N20" s="31"/>
      <c r="AS20" s="2"/>
      <c r="AT20" s="5"/>
    </row>
    <row r="21" spans="1:46" x14ac:dyDescent="0.25">
      <c r="A21" s="1" t="s">
        <v>22</v>
      </c>
      <c r="B21" s="7">
        <v>0.47058823529411764</v>
      </c>
      <c r="C21" s="1">
        <v>16</v>
      </c>
      <c r="D21" s="9">
        <v>34</v>
      </c>
      <c r="M21" s="30"/>
      <c r="N21" s="31"/>
      <c r="AS21" s="2"/>
      <c r="AT21" s="5"/>
    </row>
    <row r="22" spans="1:46" ht="15.75" thickBot="1" x14ac:dyDescent="0.3">
      <c r="A22" s="1" t="s">
        <v>4</v>
      </c>
      <c r="B22" s="7">
        <v>0.60465116279069764</v>
      </c>
      <c r="C22" s="1">
        <v>26</v>
      </c>
      <c r="D22" s="9">
        <v>43</v>
      </c>
      <c r="M22" s="32"/>
      <c r="N22" s="33"/>
      <c r="AS22" s="2"/>
      <c r="AT22" s="5"/>
    </row>
    <row r="23" spans="1:46" x14ac:dyDescent="0.25">
      <c r="A23" s="1" t="s">
        <v>6</v>
      </c>
      <c r="B23" s="7">
        <v>0.55555555555555558</v>
      </c>
      <c r="C23" s="1">
        <v>20</v>
      </c>
      <c r="D23" s="9">
        <v>36</v>
      </c>
      <c r="AS23" s="2"/>
      <c r="AT23" s="5"/>
    </row>
    <row r="24" spans="1:46" x14ac:dyDescent="0.25">
      <c r="A24" s="1" t="s">
        <v>5</v>
      </c>
      <c r="B24" s="7">
        <v>0.53488372093023251</v>
      </c>
      <c r="C24" s="1">
        <v>23</v>
      </c>
      <c r="D24" s="9">
        <v>43</v>
      </c>
      <c r="AS24" s="2"/>
      <c r="AT24" s="5"/>
    </row>
    <row r="25" spans="1:46" x14ac:dyDescent="0.25">
      <c r="A25" s="1" t="s">
        <v>8</v>
      </c>
      <c r="B25" s="7">
        <v>0.44827586206896552</v>
      </c>
      <c r="C25" s="1">
        <v>13</v>
      </c>
      <c r="D25" s="9">
        <v>29</v>
      </c>
      <c r="AS25" s="2"/>
      <c r="AT25" s="5"/>
    </row>
    <row r="26" spans="1:46" x14ac:dyDescent="0.25">
      <c r="A26" s="1" t="s">
        <v>12</v>
      </c>
      <c r="B26" s="7">
        <v>0.48837209302325579</v>
      </c>
      <c r="C26" s="1">
        <v>21</v>
      </c>
      <c r="D26" s="9">
        <v>43</v>
      </c>
      <c r="AS26" s="2"/>
      <c r="AT26" s="5"/>
    </row>
    <row r="27" spans="1:46" x14ac:dyDescent="0.25">
      <c r="A27" s="2" t="s">
        <v>23</v>
      </c>
      <c r="B27" s="7">
        <v>0.4</v>
      </c>
      <c r="C27" s="1">
        <v>10</v>
      </c>
      <c r="D27" s="9">
        <v>25</v>
      </c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  <c r="AS27" s="2"/>
      <c r="AT27" s="5"/>
    </row>
    <row r="28" spans="1:46" x14ac:dyDescent="0.25">
      <c r="A28" s="1" t="s">
        <v>11</v>
      </c>
      <c r="B28" s="7">
        <v>0.5</v>
      </c>
      <c r="C28" s="1">
        <v>10</v>
      </c>
      <c r="D28" s="9">
        <v>20</v>
      </c>
      <c r="AS28" s="2"/>
      <c r="AT28" s="5"/>
    </row>
    <row r="29" spans="1:46" x14ac:dyDescent="0.25">
      <c r="A29" s="1" t="s">
        <v>9</v>
      </c>
      <c r="B29" s="7">
        <v>0.36363636363636365</v>
      </c>
      <c r="C29" s="1">
        <v>8</v>
      </c>
      <c r="D29" s="9">
        <v>22</v>
      </c>
      <c r="AS29" s="2"/>
      <c r="AT29" s="5"/>
    </row>
    <row r="30" spans="1:46" x14ac:dyDescent="0.25">
      <c r="A30" s="1" t="s">
        <v>24</v>
      </c>
      <c r="B30" s="7">
        <v>0.36842105263157893</v>
      </c>
      <c r="C30" s="1">
        <v>7</v>
      </c>
      <c r="D30" s="9">
        <v>19</v>
      </c>
      <c r="AS30" s="2"/>
      <c r="AT30" s="5"/>
    </row>
    <row r="31" spans="1:46" x14ac:dyDescent="0.25">
      <c r="A31" s="1" t="s">
        <v>26</v>
      </c>
      <c r="B31" s="7">
        <v>0.42857142857142855</v>
      </c>
      <c r="C31" s="1">
        <v>3</v>
      </c>
      <c r="D31" s="9">
        <v>7</v>
      </c>
      <c r="AS31" s="2"/>
      <c r="AT31" s="5"/>
    </row>
    <row r="32" spans="1:46" x14ac:dyDescent="0.25">
      <c r="A32" s="1" t="s">
        <v>7</v>
      </c>
      <c r="B32" s="7">
        <v>0.7857142857142857</v>
      </c>
      <c r="C32" s="1">
        <v>22</v>
      </c>
      <c r="D32" s="9">
        <v>28</v>
      </c>
      <c r="AS32" s="2"/>
      <c r="AT32" s="5"/>
    </row>
    <row r="33" spans="1:46" x14ac:dyDescent="0.25">
      <c r="A33" s="1" t="s">
        <v>10</v>
      </c>
      <c r="B33" s="7">
        <v>0</v>
      </c>
      <c r="C33" s="1">
        <v>0</v>
      </c>
      <c r="D33" s="9">
        <v>4</v>
      </c>
      <c r="AS33" s="2"/>
      <c r="AT33" s="5"/>
    </row>
    <row r="34" spans="1:46" x14ac:dyDescent="0.25"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  <c r="W34" s="2"/>
      <c r="X34" s="2"/>
      <c r="Y34" s="2"/>
      <c r="Z34" s="2"/>
      <c r="AA34" s="2"/>
      <c r="AB34" s="2"/>
      <c r="AC34" s="2"/>
      <c r="AD34" s="2"/>
      <c r="AE34" s="2"/>
      <c r="AF34" s="2"/>
      <c r="AG34" s="2"/>
      <c r="AH34" s="2"/>
      <c r="AI34" s="2"/>
      <c r="AJ34" s="2"/>
      <c r="AK34" s="2"/>
      <c r="AL34" s="2"/>
      <c r="AM34" s="2"/>
      <c r="AN34" s="2"/>
      <c r="AO34" s="2"/>
      <c r="AP34" s="2"/>
      <c r="AQ34" s="2"/>
      <c r="AR34" s="2"/>
    </row>
    <row r="36" spans="1:46" x14ac:dyDescent="0.25">
      <c r="A36" s="3" t="s">
        <v>30</v>
      </c>
    </row>
    <row r="37" spans="1:46" x14ac:dyDescent="0.25">
      <c r="B37" s="1" t="s">
        <v>3</v>
      </c>
      <c r="C37" s="1" t="s">
        <v>18</v>
      </c>
      <c r="D37" s="1" t="s">
        <v>16</v>
      </c>
      <c r="E37" s="1" t="s">
        <v>22</v>
      </c>
      <c r="F37" s="1" t="s">
        <v>4</v>
      </c>
      <c r="G37" s="1" t="s">
        <v>6</v>
      </c>
      <c r="H37" s="1" t="s">
        <v>5</v>
      </c>
      <c r="I37" s="1" t="s">
        <v>8</v>
      </c>
      <c r="J37" s="1" t="s">
        <v>12</v>
      </c>
      <c r="K37" s="2" t="s">
        <v>23</v>
      </c>
      <c r="L37" s="2" t="s">
        <v>11</v>
      </c>
      <c r="M37" s="1" t="s">
        <v>9</v>
      </c>
      <c r="N37" s="1" t="s">
        <v>24</v>
      </c>
      <c r="O37" s="1" t="s">
        <v>26</v>
      </c>
      <c r="P37" s="1" t="s">
        <v>7</v>
      </c>
      <c r="Q37" s="1" t="s">
        <v>10</v>
      </c>
    </row>
    <row r="38" spans="1:46" x14ac:dyDescent="0.25">
      <c r="A38" s="1" t="s">
        <v>3</v>
      </c>
      <c r="B38" s="1">
        <v>0</v>
      </c>
      <c r="C38" s="1">
        <v>3</v>
      </c>
      <c r="D38" s="1">
        <v>7</v>
      </c>
      <c r="E38" s="1">
        <v>6</v>
      </c>
      <c r="F38" s="1">
        <v>11</v>
      </c>
      <c r="G38" s="1">
        <v>10</v>
      </c>
      <c r="H38" s="1">
        <v>9</v>
      </c>
      <c r="I38" s="1">
        <v>4</v>
      </c>
      <c r="J38" s="1">
        <v>14</v>
      </c>
      <c r="K38" s="1">
        <v>3</v>
      </c>
      <c r="L38" s="2">
        <v>7</v>
      </c>
      <c r="M38" s="1">
        <v>1</v>
      </c>
      <c r="N38" s="1">
        <v>1</v>
      </c>
      <c r="O38" s="1">
        <v>0</v>
      </c>
      <c r="P38" s="1">
        <v>13</v>
      </c>
      <c r="Q38" s="1">
        <v>0</v>
      </c>
    </row>
    <row r="39" spans="1:46" x14ac:dyDescent="0.25">
      <c r="A39" s="1" t="s">
        <v>18</v>
      </c>
      <c r="B39" s="1">
        <v>3</v>
      </c>
      <c r="C39" s="1">
        <v>0</v>
      </c>
      <c r="D39" s="1">
        <v>1</v>
      </c>
      <c r="E39" s="1">
        <v>0</v>
      </c>
      <c r="F39" s="1">
        <v>1</v>
      </c>
      <c r="G39" s="1">
        <v>0</v>
      </c>
      <c r="H39" s="1">
        <v>1</v>
      </c>
      <c r="I39" s="1">
        <v>1</v>
      </c>
      <c r="J39" s="1">
        <v>1</v>
      </c>
      <c r="K39" s="1">
        <v>1</v>
      </c>
      <c r="L39" s="1">
        <v>2</v>
      </c>
      <c r="M39" s="1">
        <v>0</v>
      </c>
      <c r="N39" s="1">
        <v>0</v>
      </c>
      <c r="O39" s="1">
        <v>0</v>
      </c>
      <c r="P39" s="1">
        <v>1</v>
      </c>
      <c r="Q39" s="1">
        <v>0</v>
      </c>
    </row>
    <row r="40" spans="1:46" x14ac:dyDescent="0.25">
      <c r="A40" s="1" t="s">
        <v>16</v>
      </c>
      <c r="B40" s="1">
        <v>7</v>
      </c>
      <c r="C40" s="1">
        <v>1</v>
      </c>
      <c r="D40" s="1">
        <v>0</v>
      </c>
      <c r="E40" s="1">
        <v>3</v>
      </c>
      <c r="F40" s="1">
        <v>10</v>
      </c>
      <c r="G40" s="1">
        <v>3</v>
      </c>
      <c r="H40" s="1">
        <v>7</v>
      </c>
      <c r="I40" s="1">
        <v>4</v>
      </c>
      <c r="J40" s="1">
        <v>4</v>
      </c>
      <c r="K40" s="1">
        <v>2</v>
      </c>
      <c r="L40" s="1">
        <v>4</v>
      </c>
      <c r="M40" s="1">
        <v>1</v>
      </c>
      <c r="N40" s="1">
        <v>1</v>
      </c>
      <c r="O40" s="1">
        <v>1</v>
      </c>
      <c r="P40" s="1">
        <v>8</v>
      </c>
      <c r="Q40" s="1">
        <v>0</v>
      </c>
    </row>
    <row r="41" spans="1:46" x14ac:dyDescent="0.25">
      <c r="A41" s="1" t="s">
        <v>22</v>
      </c>
      <c r="B41" s="1">
        <v>6</v>
      </c>
      <c r="C41" s="1">
        <v>0</v>
      </c>
      <c r="D41" s="1">
        <v>3</v>
      </c>
      <c r="E41" s="1">
        <v>0</v>
      </c>
      <c r="F41" s="1">
        <v>11</v>
      </c>
      <c r="G41" s="1">
        <v>9</v>
      </c>
      <c r="H41" s="1">
        <v>9</v>
      </c>
      <c r="I41" s="1">
        <v>2</v>
      </c>
      <c r="J41" s="1">
        <v>7</v>
      </c>
      <c r="K41" s="1">
        <v>1</v>
      </c>
      <c r="L41" s="1">
        <v>2</v>
      </c>
      <c r="M41" s="1">
        <v>4</v>
      </c>
      <c r="N41" s="1">
        <v>3</v>
      </c>
      <c r="O41" s="1">
        <v>0</v>
      </c>
      <c r="P41" s="1">
        <v>5</v>
      </c>
      <c r="Q41" s="1">
        <v>0</v>
      </c>
    </row>
    <row r="42" spans="1:46" x14ac:dyDescent="0.25">
      <c r="A42" s="1" t="s">
        <v>4</v>
      </c>
      <c r="B42" s="1">
        <v>11</v>
      </c>
      <c r="C42" s="1">
        <v>1</v>
      </c>
      <c r="D42" s="1">
        <v>10</v>
      </c>
      <c r="E42" s="1">
        <v>11</v>
      </c>
      <c r="F42" s="1">
        <v>0</v>
      </c>
      <c r="G42" s="1">
        <v>11</v>
      </c>
      <c r="H42" s="1">
        <v>15</v>
      </c>
      <c r="I42" s="1">
        <v>7</v>
      </c>
      <c r="J42" s="1">
        <v>8</v>
      </c>
      <c r="K42" s="1">
        <v>5</v>
      </c>
      <c r="L42" s="1">
        <v>1</v>
      </c>
      <c r="M42" s="1">
        <v>5</v>
      </c>
      <c r="N42" s="1">
        <v>4</v>
      </c>
      <c r="O42" s="1">
        <v>2</v>
      </c>
      <c r="P42" s="1">
        <v>11</v>
      </c>
      <c r="Q42" s="1">
        <v>0</v>
      </c>
    </row>
    <row r="43" spans="1:46" x14ac:dyDescent="0.25">
      <c r="A43" s="1" t="s">
        <v>6</v>
      </c>
      <c r="B43" s="1">
        <v>10</v>
      </c>
      <c r="C43" s="1">
        <v>0</v>
      </c>
      <c r="D43" s="1">
        <v>3</v>
      </c>
      <c r="E43" s="1">
        <v>9</v>
      </c>
      <c r="F43" s="1">
        <v>11</v>
      </c>
      <c r="G43" s="1">
        <v>0</v>
      </c>
      <c r="H43" s="1">
        <v>14</v>
      </c>
      <c r="I43" s="1">
        <v>2</v>
      </c>
      <c r="J43" s="1">
        <v>8</v>
      </c>
      <c r="K43" s="1">
        <v>4</v>
      </c>
      <c r="L43" s="1">
        <v>3</v>
      </c>
      <c r="M43" s="1">
        <v>5</v>
      </c>
      <c r="N43" s="1">
        <v>2</v>
      </c>
      <c r="O43" s="1">
        <v>0</v>
      </c>
      <c r="P43" s="1">
        <v>9</v>
      </c>
      <c r="Q43" s="1">
        <v>0</v>
      </c>
    </row>
    <row r="44" spans="1:46" x14ac:dyDescent="0.25">
      <c r="A44" s="1" t="s">
        <v>5</v>
      </c>
      <c r="B44" s="1">
        <v>9</v>
      </c>
      <c r="C44" s="1">
        <v>1</v>
      </c>
      <c r="D44" s="1">
        <v>7</v>
      </c>
      <c r="E44" s="1">
        <v>9</v>
      </c>
      <c r="F44" s="1">
        <v>15</v>
      </c>
      <c r="G44" s="1">
        <v>14</v>
      </c>
      <c r="H44" s="1">
        <v>0</v>
      </c>
      <c r="I44" s="1">
        <v>5</v>
      </c>
      <c r="J44" s="1">
        <v>8</v>
      </c>
      <c r="K44" s="1">
        <v>6</v>
      </c>
      <c r="L44" s="1">
        <v>3</v>
      </c>
      <c r="M44" s="1">
        <v>4</v>
      </c>
      <c r="N44" s="1">
        <v>1</v>
      </c>
      <c r="O44" s="1">
        <v>0</v>
      </c>
      <c r="P44" s="1">
        <v>10</v>
      </c>
      <c r="Q44" s="1">
        <v>0</v>
      </c>
    </row>
    <row r="45" spans="1:46" x14ac:dyDescent="0.25">
      <c r="A45" s="1" t="s">
        <v>8</v>
      </c>
      <c r="B45" s="1">
        <v>4</v>
      </c>
      <c r="C45" s="1">
        <v>1</v>
      </c>
      <c r="D45" s="1">
        <v>4</v>
      </c>
      <c r="E45" s="1">
        <v>2</v>
      </c>
      <c r="F45" s="1">
        <v>7</v>
      </c>
      <c r="G45" s="1">
        <v>2</v>
      </c>
      <c r="H45" s="1">
        <v>5</v>
      </c>
      <c r="I45" s="1">
        <v>0</v>
      </c>
      <c r="J45" s="1">
        <v>5</v>
      </c>
      <c r="K45" s="1">
        <v>4</v>
      </c>
      <c r="L45" s="1">
        <v>1</v>
      </c>
      <c r="M45" s="1">
        <v>0</v>
      </c>
      <c r="N45" s="1">
        <v>5</v>
      </c>
      <c r="O45" s="1">
        <v>3</v>
      </c>
      <c r="P45" s="1">
        <v>5</v>
      </c>
      <c r="Q45" s="1">
        <v>0</v>
      </c>
    </row>
    <row r="46" spans="1:46" x14ac:dyDescent="0.25">
      <c r="A46" s="1" t="s">
        <v>12</v>
      </c>
      <c r="B46" s="1">
        <v>14</v>
      </c>
      <c r="C46" s="1">
        <v>1</v>
      </c>
      <c r="D46" s="1">
        <v>4</v>
      </c>
      <c r="E46" s="1">
        <v>7</v>
      </c>
      <c r="F46" s="1">
        <v>8</v>
      </c>
      <c r="G46" s="1">
        <v>8</v>
      </c>
      <c r="H46" s="1">
        <v>8</v>
      </c>
      <c r="I46" s="1">
        <v>5</v>
      </c>
      <c r="J46" s="1">
        <v>0</v>
      </c>
      <c r="K46" s="1">
        <v>3</v>
      </c>
      <c r="L46" s="1">
        <v>6</v>
      </c>
      <c r="M46" s="1">
        <v>5</v>
      </c>
      <c r="N46" s="1">
        <v>1</v>
      </c>
      <c r="O46" s="1">
        <v>0</v>
      </c>
      <c r="P46" s="1">
        <v>11</v>
      </c>
      <c r="Q46" s="1">
        <v>0</v>
      </c>
    </row>
    <row r="47" spans="1:46" x14ac:dyDescent="0.25">
      <c r="A47" s="2" t="s">
        <v>23</v>
      </c>
      <c r="B47" s="1">
        <v>3</v>
      </c>
      <c r="C47" s="1">
        <v>1</v>
      </c>
      <c r="D47" s="1">
        <v>2</v>
      </c>
      <c r="E47" s="1">
        <v>1</v>
      </c>
      <c r="F47" s="1">
        <v>5</v>
      </c>
      <c r="G47" s="1">
        <v>4</v>
      </c>
      <c r="H47" s="1">
        <v>6</v>
      </c>
      <c r="I47" s="1">
        <v>4</v>
      </c>
      <c r="J47" s="1">
        <v>3</v>
      </c>
      <c r="K47" s="1">
        <v>0</v>
      </c>
      <c r="L47" s="1">
        <v>3</v>
      </c>
      <c r="M47" s="1">
        <v>1</v>
      </c>
      <c r="N47" s="1">
        <v>2</v>
      </c>
      <c r="O47" s="1">
        <v>2</v>
      </c>
      <c r="P47" s="1">
        <v>2</v>
      </c>
      <c r="Q47" s="1">
        <v>0</v>
      </c>
    </row>
    <row r="48" spans="1:46" x14ac:dyDescent="0.25">
      <c r="A48" s="2" t="s">
        <v>11</v>
      </c>
      <c r="B48" s="1">
        <v>7</v>
      </c>
      <c r="C48" s="1">
        <v>2</v>
      </c>
      <c r="D48" s="1">
        <v>4</v>
      </c>
      <c r="E48" s="1">
        <v>2</v>
      </c>
      <c r="F48" s="1">
        <v>1</v>
      </c>
      <c r="G48" s="1">
        <v>3</v>
      </c>
      <c r="H48" s="1">
        <v>3</v>
      </c>
      <c r="I48" s="1">
        <v>1</v>
      </c>
      <c r="J48" s="1">
        <v>6</v>
      </c>
      <c r="K48" s="1">
        <v>3</v>
      </c>
      <c r="L48" s="1">
        <v>0</v>
      </c>
      <c r="M48" s="1">
        <v>1</v>
      </c>
      <c r="N48" s="1">
        <v>1</v>
      </c>
      <c r="O48" s="1">
        <v>0</v>
      </c>
      <c r="P48" s="1">
        <v>5</v>
      </c>
      <c r="Q48" s="1">
        <v>0</v>
      </c>
    </row>
    <row r="49" spans="1:17" x14ac:dyDescent="0.25">
      <c r="A49" s="1" t="s">
        <v>9</v>
      </c>
      <c r="B49" s="1">
        <v>1</v>
      </c>
      <c r="C49" s="1">
        <v>0</v>
      </c>
      <c r="D49" s="1">
        <v>1</v>
      </c>
      <c r="E49" s="1">
        <v>4</v>
      </c>
      <c r="F49" s="1">
        <v>5</v>
      </c>
      <c r="G49" s="1">
        <v>5</v>
      </c>
      <c r="H49" s="1">
        <v>4</v>
      </c>
      <c r="I49" s="1">
        <v>0</v>
      </c>
      <c r="J49" s="1">
        <v>5</v>
      </c>
      <c r="K49" s="1">
        <v>1</v>
      </c>
      <c r="L49" s="1">
        <v>1</v>
      </c>
      <c r="M49" s="1">
        <v>0</v>
      </c>
      <c r="N49" s="1">
        <v>0</v>
      </c>
      <c r="O49" s="1">
        <v>0</v>
      </c>
      <c r="P49" s="1">
        <v>4</v>
      </c>
      <c r="Q49" s="1">
        <v>0</v>
      </c>
    </row>
    <row r="50" spans="1:17" x14ac:dyDescent="0.25">
      <c r="A50" s="1" t="s">
        <v>24</v>
      </c>
      <c r="B50" s="1">
        <v>1</v>
      </c>
      <c r="C50" s="1">
        <v>0</v>
      </c>
      <c r="D50" s="1">
        <v>1</v>
      </c>
      <c r="E50" s="1">
        <v>3</v>
      </c>
      <c r="F50" s="1">
        <v>4</v>
      </c>
      <c r="G50" s="1">
        <v>2</v>
      </c>
      <c r="H50" s="1">
        <v>1</v>
      </c>
      <c r="I50" s="1">
        <v>5</v>
      </c>
      <c r="J50" s="1">
        <v>1</v>
      </c>
      <c r="K50" s="1">
        <v>2</v>
      </c>
      <c r="L50" s="1">
        <v>1</v>
      </c>
      <c r="M50" s="1">
        <v>0</v>
      </c>
      <c r="N50" s="1">
        <v>0</v>
      </c>
      <c r="O50" s="1">
        <v>3</v>
      </c>
      <c r="P50" s="1">
        <v>1</v>
      </c>
      <c r="Q50" s="1">
        <v>0</v>
      </c>
    </row>
    <row r="51" spans="1:17" x14ac:dyDescent="0.25">
      <c r="A51" s="1" t="s">
        <v>26</v>
      </c>
      <c r="B51" s="1">
        <v>0</v>
      </c>
      <c r="C51" s="1">
        <v>0</v>
      </c>
      <c r="D51" s="1">
        <v>1</v>
      </c>
      <c r="E51" s="1">
        <v>0</v>
      </c>
      <c r="F51" s="1">
        <v>2</v>
      </c>
      <c r="G51" s="1">
        <v>0</v>
      </c>
      <c r="H51" s="1">
        <v>0</v>
      </c>
      <c r="I51" s="1">
        <v>3</v>
      </c>
      <c r="J51" s="1">
        <v>0</v>
      </c>
      <c r="K51" s="1">
        <v>2</v>
      </c>
      <c r="L51" s="1">
        <v>0</v>
      </c>
      <c r="M51" s="1">
        <v>0</v>
      </c>
      <c r="N51" s="1">
        <v>3</v>
      </c>
      <c r="O51" s="1">
        <v>0</v>
      </c>
      <c r="P51" s="1">
        <v>0</v>
      </c>
      <c r="Q51" s="1">
        <v>0</v>
      </c>
    </row>
    <row r="52" spans="1:17" x14ac:dyDescent="0.25">
      <c r="A52" s="1" t="s">
        <v>7</v>
      </c>
      <c r="B52" s="1">
        <v>13</v>
      </c>
      <c r="C52" s="1">
        <v>1</v>
      </c>
      <c r="D52" s="1">
        <v>8</v>
      </c>
      <c r="E52" s="1">
        <v>5</v>
      </c>
      <c r="F52" s="1">
        <v>11</v>
      </c>
      <c r="G52" s="1">
        <v>9</v>
      </c>
      <c r="H52" s="1">
        <v>10</v>
      </c>
      <c r="I52" s="1">
        <v>5</v>
      </c>
      <c r="J52" s="1">
        <v>11</v>
      </c>
      <c r="K52" s="1">
        <v>2</v>
      </c>
      <c r="L52" s="1">
        <v>5</v>
      </c>
      <c r="M52" s="1">
        <v>4</v>
      </c>
      <c r="N52" s="1">
        <v>1</v>
      </c>
      <c r="O52" s="1">
        <v>0</v>
      </c>
      <c r="P52" s="1">
        <v>0</v>
      </c>
      <c r="Q52" s="1">
        <v>0</v>
      </c>
    </row>
    <row r="53" spans="1:17" x14ac:dyDescent="0.25">
      <c r="A53" s="1" t="s">
        <v>10</v>
      </c>
      <c r="B53" s="1">
        <v>0</v>
      </c>
      <c r="C53" s="1">
        <v>0</v>
      </c>
      <c r="D53" s="1">
        <v>0</v>
      </c>
      <c r="E53" s="1">
        <v>0</v>
      </c>
      <c r="F53" s="1">
        <v>0</v>
      </c>
      <c r="G53" s="1">
        <v>0</v>
      </c>
      <c r="H53" s="1">
        <v>0</v>
      </c>
      <c r="I53" s="1">
        <v>0</v>
      </c>
      <c r="J53" s="1">
        <v>0</v>
      </c>
      <c r="K53" s="1">
        <v>0</v>
      </c>
      <c r="L53" s="1">
        <v>0</v>
      </c>
      <c r="M53" s="1">
        <v>0</v>
      </c>
      <c r="N53" s="1">
        <v>0</v>
      </c>
      <c r="O53" s="1">
        <v>0</v>
      </c>
      <c r="P53" s="1">
        <v>0</v>
      </c>
      <c r="Q53" s="1">
        <v>0</v>
      </c>
    </row>
    <row r="56" spans="1:17" x14ac:dyDescent="0.25">
      <c r="A56" s="3" t="s">
        <v>31</v>
      </c>
    </row>
    <row r="57" spans="1:17" x14ac:dyDescent="0.25">
      <c r="B57" s="1" t="s">
        <v>3</v>
      </c>
      <c r="C57" s="1" t="s">
        <v>18</v>
      </c>
      <c r="D57" s="1" t="s">
        <v>16</v>
      </c>
      <c r="E57" s="1" t="s">
        <v>22</v>
      </c>
      <c r="F57" s="1" t="s">
        <v>4</v>
      </c>
      <c r="G57" s="1" t="s">
        <v>6</v>
      </c>
      <c r="H57" s="1" t="s">
        <v>5</v>
      </c>
      <c r="I57" s="1" t="s">
        <v>8</v>
      </c>
      <c r="J57" s="1" t="s">
        <v>12</v>
      </c>
      <c r="K57" s="2" t="s">
        <v>23</v>
      </c>
      <c r="L57" s="2" t="s">
        <v>11</v>
      </c>
      <c r="M57" s="1" t="s">
        <v>9</v>
      </c>
      <c r="N57" s="1" t="s">
        <v>24</v>
      </c>
      <c r="O57" s="1" t="s">
        <v>26</v>
      </c>
      <c r="P57" s="1" t="s">
        <v>7</v>
      </c>
      <c r="Q57" s="1" t="s">
        <v>10</v>
      </c>
    </row>
    <row r="58" spans="1:17" x14ac:dyDescent="0.25">
      <c r="A58" s="1" t="s">
        <v>3</v>
      </c>
      <c r="B58" s="1">
        <v>0</v>
      </c>
      <c r="C58" s="1">
        <v>2</v>
      </c>
      <c r="D58" s="1">
        <v>7</v>
      </c>
      <c r="E58" s="1">
        <v>7</v>
      </c>
      <c r="F58" s="1">
        <v>6</v>
      </c>
      <c r="G58" s="1">
        <v>4</v>
      </c>
      <c r="H58" s="1">
        <v>4</v>
      </c>
      <c r="I58" s="1">
        <v>1</v>
      </c>
      <c r="J58" s="1">
        <v>11</v>
      </c>
      <c r="K58" s="1">
        <v>3</v>
      </c>
      <c r="L58" s="1">
        <v>4</v>
      </c>
      <c r="M58" s="1">
        <v>2</v>
      </c>
      <c r="N58" s="1">
        <v>3</v>
      </c>
      <c r="O58" s="1">
        <v>2</v>
      </c>
      <c r="P58" s="1">
        <v>3</v>
      </c>
      <c r="Q58" s="1">
        <v>1</v>
      </c>
    </row>
    <row r="59" spans="1:17" x14ac:dyDescent="0.25">
      <c r="A59" s="1" t="s">
        <v>18</v>
      </c>
      <c r="B59" s="1">
        <v>2</v>
      </c>
      <c r="C59" s="1">
        <v>0</v>
      </c>
      <c r="D59" s="1">
        <v>0</v>
      </c>
      <c r="E59" s="1">
        <v>4</v>
      </c>
      <c r="F59" s="1">
        <v>1</v>
      </c>
      <c r="G59" s="1">
        <v>1</v>
      </c>
      <c r="H59" s="1">
        <v>3</v>
      </c>
      <c r="I59" s="1">
        <v>1</v>
      </c>
      <c r="J59" s="1">
        <v>3</v>
      </c>
      <c r="K59" s="1">
        <v>4</v>
      </c>
      <c r="L59" s="1">
        <v>2</v>
      </c>
      <c r="M59" s="1">
        <v>2</v>
      </c>
      <c r="N59" s="1">
        <v>0</v>
      </c>
      <c r="O59" s="1">
        <v>0</v>
      </c>
      <c r="P59" s="1">
        <v>1</v>
      </c>
      <c r="Q59" s="1">
        <v>0</v>
      </c>
    </row>
    <row r="60" spans="1:17" x14ac:dyDescent="0.25">
      <c r="A60" s="1" t="s">
        <v>16</v>
      </c>
      <c r="B60" s="1">
        <v>7</v>
      </c>
      <c r="C60" s="1">
        <v>0</v>
      </c>
      <c r="D60" s="1">
        <v>0</v>
      </c>
      <c r="E60" s="1">
        <v>8</v>
      </c>
      <c r="F60" s="1">
        <v>8</v>
      </c>
      <c r="G60" s="1">
        <v>5</v>
      </c>
      <c r="H60" s="1">
        <v>9</v>
      </c>
      <c r="I60" s="1">
        <v>5</v>
      </c>
      <c r="J60" s="1">
        <v>5</v>
      </c>
      <c r="K60" s="1">
        <v>4</v>
      </c>
      <c r="L60" s="1">
        <v>5</v>
      </c>
      <c r="M60" s="1">
        <v>3</v>
      </c>
      <c r="N60" s="1">
        <v>6</v>
      </c>
      <c r="O60" s="1">
        <v>2</v>
      </c>
      <c r="P60" s="1">
        <v>4</v>
      </c>
      <c r="Q60" s="1">
        <v>0</v>
      </c>
    </row>
    <row r="61" spans="1:17" x14ac:dyDescent="0.25">
      <c r="A61" s="1" t="s">
        <v>22</v>
      </c>
      <c r="B61" s="1">
        <v>7</v>
      </c>
      <c r="C61" s="1">
        <v>4</v>
      </c>
      <c r="D61" s="1">
        <v>8</v>
      </c>
      <c r="E61" s="1">
        <v>0</v>
      </c>
      <c r="F61" s="1">
        <v>7</v>
      </c>
      <c r="G61" s="1">
        <v>8</v>
      </c>
      <c r="H61" s="1">
        <v>7</v>
      </c>
      <c r="I61" s="1">
        <v>2</v>
      </c>
      <c r="J61" s="1">
        <v>8</v>
      </c>
      <c r="K61" s="1">
        <v>6</v>
      </c>
      <c r="L61" s="1">
        <v>3</v>
      </c>
      <c r="M61" s="1">
        <v>4</v>
      </c>
      <c r="N61" s="1">
        <v>4</v>
      </c>
      <c r="O61" s="1">
        <v>0</v>
      </c>
      <c r="P61" s="1">
        <v>4</v>
      </c>
      <c r="Q61" s="1">
        <v>0</v>
      </c>
    </row>
    <row r="62" spans="1:17" x14ac:dyDescent="0.25">
      <c r="A62" s="1" t="s">
        <v>4</v>
      </c>
      <c r="B62" s="1">
        <v>6</v>
      </c>
      <c r="C62" s="1">
        <v>1</v>
      </c>
      <c r="D62" s="1">
        <v>8</v>
      </c>
      <c r="E62" s="1">
        <v>7</v>
      </c>
      <c r="F62" s="1">
        <v>0</v>
      </c>
      <c r="G62" s="1">
        <v>6</v>
      </c>
      <c r="H62" s="1">
        <v>9</v>
      </c>
      <c r="I62" s="1">
        <v>3</v>
      </c>
      <c r="J62" s="1">
        <v>3</v>
      </c>
      <c r="K62" s="1">
        <v>6</v>
      </c>
      <c r="L62" s="1">
        <v>3</v>
      </c>
      <c r="M62" s="1">
        <v>8</v>
      </c>
      <c r="N62" s="1">
        <v>3</v>
      </c>
      <c r="O62" s="1">
        <v>0</v>
      </c>
      <c r="P62" s="1">
        <v>1</v>
      </c>
      <c r="Q62" s="1">
        <v>0</v>
      </c>
    </row>
    <row r="63" spans="1:17" x14ac:dyDescent="0.25">
      <c r="A63" s="1" t="s">
        <v>6</v>
      </c>
      <c r="B63" s="1">
        <v>4</v>
      </c>
      <c r="C63" s="1">
        <v>1</v>
      </c>
      <c r="D63" s="1">
        <v>5</v>
      </c>
      <c r="E63" s="1">
        <v>8</v>
      </c>
      <c r="F63" s="1">
        <v>6</v>
      </c>
      <c r="G63" s="1">
        <v>0</v>
      </c>
      <c r="H63" s="1">
        <v>9</v>
      </c>
      <c r="I63" s="1">
        <v>4</v>
      </c>
      <c r="J63" s="1">
        <v>6</v>
      </c>
      <c r="K63" s="1">
        <v>6</v>
      </c>
      <c r="L63" s="1">
        <v>2</v>
      </c>
      <c r="M63" s="1">
        <v>6</v>
      </c>
      <c r="N63" s="1">
        <v>3</v>
      </c>
      <c r="O63" s="1">
        <v>1</v>
      </c>
      <c r="P63" s="1">
        <v>1</v>
      </c>
      <c r="Q63" s="1">
        <v>0</v>
      </c>
    </row>
    <row r="64" spans="1:17" x14ac:dyDescent="0.25">
      <c r="A64" s="1" t="s">
        <v>5</v>
      </c>
      <c r="B64" s="1">
        <v>4</v>
      </c>
      <c r="C64" s="1">
        <v>3</v>
      </c>
      <c r="D64" s="1">
        <v>9</v>
      </c>
      <c r="E64" s="1">
        <v>7</v>
      </c>
      <c r="F64" s="1">
        <v>9</v>
      </c>
      <c r="G64" s="1">
        <v>9</v>
      </c>
      <c r="H64" s="1">
        <v>0</v>
      </c>
      <c r="I64" s="1">
        <v>7</v>
      </c>
      <c r="J64" s="1">
        <v>7</v>
      </c>
      <c r="K64" s="1">
        <v>8</v>
      </c>
      <c r="L64" s="1">
        <v>3</v>
      </c>
      <c r="M64" s="1">
        <v>5</v>
      </c>
      <c r="N64" s="1">
        <v>3</v>
      </c>
      <c r="O64" s="1">
        <v>0</v>
      </c>
      <c r="P64" s="1">
        <v>1</v>
      </c>
      <c r="Q64" s="1">
        <v>0</v>
      </c>
    </row>
    <row r="65" spans="1:17" x14ac:dyDescent="0.25">
      <c r="A65" s="1" t="s">
        <v>8</v>
      </c>
      <c r="B65" s="1">
        <v>1</v>
      </c>
      <c r="C65" s="1">
        <v>1</v>
      </c>
      <c r="D65" s="1">
        <v>5</v>
      </c>
      <c r="E65" s="1">
        <v>2</v>
      </c>
      <c r="F65" s="1">
        <v>3</v>
      </c>
      <c r="G65" s="1">
        <v>4</v>
      </c>
      <c r="H65" s="1">
        <v>7</v>
      </c>
      <c r="I65" s="1">
        <v>0</v>
      </c>
      <c r="J65" s="1">
        <v>10</v>
      </c>
      <c r="K65" s="1">
        <v>5</v>
      </c>
      <c r="L65" s="1">
        <v>2</v>
      </c>
      <c r="M65" s="1">
        <v>6</v>
      </c>
      <c r="N65" s="1">
        <v>8</v>
      </c>
      <c r="O65" s="1">
        <v>2</v>
      </c>
      <c r="P65" s="1">
        <v>0</v>
      </c>
      <c r="Q65" s="1">
        <v>4</v>
      </c>
    </row>
    <row r="66" spans="1:17" x14ac:dyDescent="0.25">
      <c r="A66" s="1" t="s">
        <v>12</v>
      </c>
      <c r="B66" s="1">
        <v>11</v>
      </c>
      <c r="C66" s="1">
        <v>3</v>
      </c>
      <c r="D66" s="1">
        <v>5</v>
      </c>
      <c r="E66" s="1">
        <v>8</v>
      </c>
      <c r="F66" s="1">
        <v>3</v>
      </c>
      <c r="G66" s="1">
        <v>6</v>
      </c>
      <c r="H66" s="1">
        <v>7</v>
      </c>
      <c r="I66" s="1">
        <v>10</v>
      </c>
      <c r="J66" s="1">
        <v>0</v>
      </c>
      <c r="K66" s="1">
        <v>6</v>
      </c>
      <c r="L66" s="1">
        <v>5</v>
      </c>
      <c r="M66" s="1">
        <v>5</v>
      </c>
      <c r="N66" s="1">
        <v>6</v>
      </c>
      <c r="O66" s="1">
        <v>2</v>
      </c>
      <c r="P66" s="1">
        <v>4</v>
      </c>
      <c r="Q66" s="1">
        <v>4</v>
      </c>
    </row>
    <row r="67" spans="1:17" x14ac:dyDescent="0.25">
      <c r="A67" s="2" t="s">
        <v>23</v>
      </c>
      <c r="B67" s="1">
        <v>3</v>
      </c>
      <c r="C67" s="1">
        <v>4</v>
      </c>
      <c r="D67" s="1">
        <v>4</v>
      </c>
      <c r="E67" s="1">
        <v>6</v>
      </c>
      <c r="F67" s="1">
        <v>6</v>
      </c>
      <c r="G67" s="1">
        <v>6</v>
      </c>
      <c r="H67" s="1">
        <v>8</v>
      </c>
      <c r="I67" s="1">
        <v>5</v>
      </c>
      <c r="J67" s="1">
        <v>6</v>
      </c>
      <c r="K67" s="1">
        <v>0</v>
      </c>
      <c r="L67" s="1">
        <v>2</v>
      </c>
      <c r="M67" s="1">
        <v>6</v>
      </c>
      <c r="N67" s="1">
        <v>1</v>
      </c>
      <c r="O67" s="1">
        <v>0</v>
      </c>
      <c r="P67" s="1">
        <v>1</v>
      </c>
      <c r="Q67" s="1">
        <v>2</v>
      </c>
    </row>
    <row r="68" spans="1:17" x14ac:dyDescent="0.25">
      <c r="A68" s="2" t="s">
        <v>11</v>
      </c>
      <c r="B68" s="1">
        <v>4</v>
      </c>
      <c r="C68" s="1">
        <v>2</v>
      </c>
      <c r="D68" s="1">
        <v>5</v>
      </c>
      <c r="E68" s="1">
        <v>3</v>
      </c>
      <c r="F68" s="1">
        <v>3</v>
      </c>
      <c r="G68" s="1">
        <v>2</v>
      </c>
      <c r="H68" s="1">
        <v>3</v>
      </c>
      <c r="I68" s="1">
        <v>2</v>
      </c>
      <c r="J68" s="1">
        <v>5</v>
      </c>
      <c r="K68" s="1">
        <v>2</v>
      </c>
      <c r="L68" s="1">
        <v>0</v>
      </c>
      <c r="M68" s="1">
        <v>3</v>
      </c>
      <c r="N68" s="1">
        <v>1</v>
      </c>
      <c r="O68" s="1">
        <v>0</v>
      </c>
      <c r="P68" s="1">
        <v>1</v>
      </c>
      <c r="Q68" s="1">
        <v>2</v>
      </c>
    </row>
    <row r="69" spans="1:17" x14ac:dyDescent="0.25">
      <c r="A69" s="1" t="s">
        <v>9</v>
      </c>
      <c r="B69" s="1">
        <v>2</v>
      </c>
      <c r="C69" s="1">
        <v>2</v>
      </c>
      <c r="D69" s="1">
        <v>3</v>
      </c>
      <c r="E69" s="1">
        <v>4</v>
      </c>
      <c r="F69" s="1">
        <v>8</v>
      </c>
      <c r="G69" s="1">
        <v>6</v>
      </c>
      <c r="H69" s="1">
        <v>5</v>
      </c>
      <c r="I69" s="1">
        <v>6</v>
      </c>
      <c r="J69" s="1">
        <v>5</v>
      </c>
      <c r="K69" s="1">
        <v>6</v>
      </c>
      <c r="L69" s="1">
        <v>3</v>
      </c>
      <c r="M69" s="1">
        <v>0</v>
      </c>
      <c r="N69" s="1">
        <v>2</v>
      </c>
      <c r="O69" s="1">
        <v>0</v>
      </c>
      <c r="P69" s="1">
        <v>1</v>
      </c>
      <c r="Q69" s="1">
        <v>2</v>
      </c>
    </row>
    <row r="70" spans="1:17" x14ac:dyDescent="0.25">
      <c r="A70" s="1" t="s">
        <v>24</v>
      </c>
      <c r="B70" s="1">
        <v>3</v>
      </c>
      <c r="C70" s="1">
        <v>0</v>
      </c>
      <c r="D70" s="1">
        <v>6</v>
      </c>
      <c r="E70" s="1">
        <v>4</v>
      </c>
      <c r="F70" s="1">
        <v>3</v>
      </c>
      <c r="G70" s="1">
        <v>3</v>
      </c>
      <c r="H70" s="1">
        <v>3</v>
      </c>
      <c r="I70" s="1">
        <v>8</v>
      </c>
      <c r="J70" s="1">
        <v>6</v>
      </c>
      <c r="K70" s="1">
        <v>1</v>
      </c>
      <c r="L70" s="1">
        <v>1</v>
      </c>
      <c r="M70" s="1">
        <v>2</v>
      </c>
      <c r="N70" s="1">
        <v>0</v>
      </c>
      <c r="O70" s="1">
        <v>4</v>
      </c>
      <c r="P70" s="1">
        <v>0</v>
      </c>
      <c r="Q70" s="1">
        <v>1</v>
      </c>
    </row>
    <row r="71" spans="1:17" x14ac:dyDescent="0.25">
      <c r="A71" s="1" t="s">
        <v>26</v>
      </c>
      <c r="B71" s="1">
        <v>2</v>
      </c>
      <c r="C71" s="1">
        <v>0</v>
      </c>
      <c r="D71" s="1">
        <v>2</v>
      </c>
      <c r="E71" s="1">
        <v>0</v>
      </c>
      <c r="F71" s="1">
        <v>0</v>
      </c>
      <c r="G71" s="1">
        <v>1</v>
      </c>
      <c r="H71" s="1">
        <v>0</v>
      </c>
      <c r="I71" s="1">
        <v>2</v>
      </c>
      <c r="J71" s="1">
        <v>2</v>
      </c>
      <c r="K71" s="1">
        <v>0</v>
      </c>
      <c r="L71" s="1">
        <v>0</v>
      </c>
      <c r="M71" s="1">
        <v>0</v>
      </c>
      <c r="N71" s="1">
        <v>4</v>
      </c>
      <c r="O71" s="1">
        <v>0</v>
      </c>
      <c r="P71" s="1">
        <v>0</v>
      </c>
      <c r="Q71" s="1">
        <v>0</v>
      </c>
    </row>
    <row r="72" spans="1:17" x14ac:dyDescent="0.25">
      <c r="A72" s="1" t="s">
        <v>7</v>
      </c>
      <c r="B72" s="1">
        <v>3</v>
      </c>
      <c r="C72" s="1">
        <v>1</v>
      </c>
      <c r="D72" s="1">
        <v>4</v>
      </c>
      <c r="E72" s="1">
        <v>4</v>
      </c>
      <c r="F72" s="1">
        <v>1</v>
      </c>
      <c r="G72" s="1">
        <v>1</v>
      </c>
      <c r="H72" s="1">
        <v>1</v>
      </c>
      <c r="I72" s="1">
        <v>0</v>
      </c>
      <c r="J72" s="1">
        <v>4</v>
      </c>
      <c r="K72" s="1">
        <v>1</v>
      </c>
      <c r="L72" s="1">
        <v>1</v>
      </c>
      <c r="M72" s="1">
        <v>1</v>
      </c>
      <c r="N72" s="1">
        <v>0</v>
      </c>
      <c r="O72" s="1">
        <v>0</v>
      </c>
      <c r="P72" s="1">
        <v>0</v>
      </c>
      <c r="Q72" s="1">
        <v>0</v>
      </c>
    </row>
    <row r="73" spans="1:17" x14ac:dyDescent="0.25">
      <c r="A73" s="1" t="s">
        <v>10</v>
      </c>
      <c r="B73" s="1">
        <v>1</v>
      </c>
      <c r="C73" s="1">
        <v>0</v>
      </c>
      <c r="D73" s="1">
        <v>0</v>
      </c>
      <c r="E73" s="1">
        <v>0</v>
      </c>
      <c r="F73" s="1">
        <v>0</v>
      </c>
      <c r="G73" s="1">
        <v>0</v>
      </c>
      <c r="H73" s="1">
        <v>0</v>
      </c>
      <c r="I73" s="1">
        <v>4</v>
      </c>
      <c r="J73" s="1">
        <v>4</v>
      </c>
      <c r="K73" s="1">
        <v>2</v>
      </c>
      <c r="L73" s="1">
        <v>2</v>
      </c>
      <c r="M73" s="1">
        <v>2</v>
      </c>
      <c r="N73" s="1">
        <v>1</v>
      </c>
      <c r="O73" s="1">
        <v>0</v>
      </c>
      <c r="P73" s="1">
        <v>0</v>
      </c>
      <c r="Q73" s="1">
        <v>0</v>
      </c>
    </row>
    <row r="76" spans="1:17" x14ac:dyDescent="0.25">
      <c r="A76" s="3" t="s">
        <v>92</v>
      </c>
    </row>
    <row r="77" spans="1:17" x14ac:dyDescent="0.25">
      <c r="B77" s="1" t="s">
        <v>3</v>
      </c>
      <c r="C77" s="1" t="s">
        <v>18</v>
      </c>
      <c r="D77" s="1" t="s">
        <v>16</v>
      </c>
      <c r="E77" s="1" t="s">
        <v>22</v>
      </c>
      <c r="F77" s="1" t="s">
        <v>4</v>
      </c>
      <c r="G77" s="1" t="s">
        <v>6</v>
      </c>
      <c r="H77" s="1" t="s">
        <v>5</v>
      </c>
      <c r="I77" s="1" t="s">
        <v>8</v>
      </c>
      <c r="J77" s="1" t="s">
        <v>12</v>
      </c>
      <c r="K77" s="2" t="s">
        <v>23</v>
      </c>
      <c r="L77" s="2" t="s">
        <v>11</v>
      </c>
      <c r="M77" s="1" t="s">
        <v>9</v>
      </c>
      <c r="N77" s="1" t="s">
        <v>24</v>
      </c>
      <c r="O77" s="1" t="s">
        <v>26</v>
      </c>
      <c r="P77" s="1" t="s">
        <v>7</v>
      </c>
      <c r="Q77" s="1" t="s">
        <v>10</v>
      </c>
    </row>
    <row r="78" spans="1:17" x14ac:dyDescent="0.25">
      <c r="A78" s="1" t="s">
        <v>3</v>
      </c>
      <c r="B78" s="1">
        <f>B38+B58</f>
        <v>0</v>
      </c>
      <c r="C78" s="1">
        <f t="shared" ref="C78:Q78" si="0">C38+C58</f>
        <v>5</v>
      </c>
      <c r="D78" s="1">
        <f t="shared" si="0"/>
        <v>14</v>
      </c>
      <c r="E78" s="1">
        <f t="shared" si="0"/>
        <v>13</v>
      </c>
      <c r="F78" s="1">
        <f t="shared" si="0"/>
        <v>17</v>
      </c>
      <c r="G78" s="1">
        <f t="shared" si="0"/>
        <v>14</v>
      </c>
      <c r="H78" s="1">
        <f t="shared" si="0"/>
        <v>13</v>
      </c>
      <c r="I78" s="1">
        <f t="shared" si="0"/>
        <v>5</v>
      </c>
      <c r="J78" s="1">
        <f t="shared" si="0"/>
        <v>25</v>
      </c>
      <c r="K78" s="1">
        <f t="shared" si="0"/>
        <v>6</v>
      </c>
      <c r="L78" s="1">
        <f t="shared" si="0"/>
        <v>11</v>
      </c>
      <c r="M78" s="1">
        <f t="shared" si="0"/>
        <v>3</v>
      </c>
      <c r="N78" s="1">
        <f t="shared" si="0"/>
        <v>4</v>
      </c>
      <c r="O78" s="1">
        <f t="shared" si="0"/>
        <v>2</v>
      </c>
      <c r="P78" s="1">
        <f t="shared" si="0"/>
        <v>16</v>
      </c>
      <c r="Q78" s="1">
        <f t="shared" si="0"/>
        <v>1</v>
      </c>
    </row>
    <row r="79" spans="1:17" x14ac:dyDescent="0.25">
      <c r="A79" s="1" t="s">
        <v>18</v>
      </c>
      <c r="B79" s="1">
        <f t="shared" ref="B79:Q93" si="1">B39+B59</f>
        <v>5</v>
      </c>
      <c r="C79" s="1">
        <f t="shared" si="1"/>
        <v>0</v>
      </c>
      <c r="D79" s="1">
        <f t="shared" si="1"/>
        <v>1</v>
      </c>
      <c r="E79" s="1">
        <f t="shared" si="1"/>
        <v>4</v>
      </c>
      <c r="F79" s="1">
        <f t="shared" si="1"/>
        <v>2</v>
      </c>
      <c r="G79" s="1">
        <f t="shared" si="1"/>
        <v>1</v>
      </c>
      <c r="H79" s="1">
        <f t="shared" si="1"/>
        <v>4</v>
      </c>
      <c r="I79" s="1">
        <f t="shared" si="1"/>
        <v>2</v>
      </c>
      <c r="J79" s="1">
        <f t="shared" si="1"/>
        <v>4</v>
      </c>
      <c r="K79" s="1">
        <f t="shared" si="1"/>
        <v>5</v>
      </c>
      <c r="L79" s="1">
        <f t="shared" si="1"/>
        <v>4</v>
      </c>
      <c r="M79" s="1">
        <f t="shared" si="1"/>
        <v>2</v>
      </c>
      <c r="N79" s="1">
        <f t="shared" si="1"/>
        <v>0</v>
      </c>
      <c r="O79" s="1">
        <f t="shared" si="1"/>
        <v>0</v>
      </c>
      <c r="P79" s="1">
        <f t="shared" si="1"/>
        <v>2</v>
      </c>
      <c r="Q79" s="1">
        <f t="shared" si="1"/>
        <v>0</v>
      </c>
    </row>
    <row r="80" spans="1:17" x14ac:dyDescent="0.25">
      <c r="A80" s="1" t="s">
        <v>16</v>
      </c>
      <c r="B80" s="1">
        <f t="shared" si="1"/>
        <v>14</v>
      </c>
      <c r="C80" s="1">
        <f t="shared" si="1"/>
        <v>1</v>
      </c>
      <c r="D80" s="1">
        <f t="shared" si="1"/>
        <v>0</v>
      </c>
      <c r="E80" s="1">
        <f t="shared" si="1"/>
        <v>11</v>
      </c>
      <c r="F80" s="1">
        <f t="shared" si="1"/>
        <v>18</v>
      </c>
      <c r="G80" s="1">
        <f t="shared" si="1"/>
        <v>8</v>
      </c>
      <c r="H80" s="1">
        <f t="shared" si="1"/>
        <v>16</v>
      </c>
      <c r="I80" s="1">
        <f t="shared" si="1"/>
        <v>9</v>
      </c>
      <c r="J80" s="1">
        <f t="shared" si="1"/>
        <v>9</v>
      </c>
      <c r="K80" s="1">
        <f t="shared" si="1"/>
        <v>6</v>
      </c>
      <c r="L80" s="1">
        <f t="shared" si="1"/>
        <v>9</v>
      </c>
      <c r="M80" s="1">
        <f t="shared" si="1"/>
        <v>4</v>
      </c>
      <c r="N80" s="1">
        <f t="shared" si="1"/>
        <v>7</v>
      </c>
      <c r="O80" s="1">
        <f t="shared" si="1"/>
        <v>3</v>
      </c>
      <c r="P80" s="1">
        <f t="shared" si="1"/>
        <v>12</v>
      </c>
      <c r="Q80" s="1">
        <f t="shared" si="1"/>
        <v>0</v>
      </c>
    </row>
    <row r="81" spans="1:17" x14ac:dyDescent="0.25">
      <c r="A81" s="1" t="s">
        <v>22</v>
      </c>
      <c r="B81" s="1">
        <f t="shared" si="1"/>
        <v>13</v>
      </c>
      <c r="C81" s="1">
        <f t="shared" si="1"/>
        <v>4</v>
      </c>
      <c r="D81" s="1">
        <f t="shared" si="1"/>
        <v>11</v>
      </c>
      <c r="E81" s="1">
        <f t="shared" si="1"/>
        <v>0</v>
      </c>
      <c r="F81" s="1">
        <f t="shared" si="1"/>
        <v>18</v>
      </c>
      <c r="G81" s="1">
        <f t="shared" si="1"/>
        <v>17</v>
      </c>
      <c r="H81" s="1">
        <f t="shared" si="1"/>
        <v>16</v>
      </c>
      <c r="I81" s="1">
        <f t="shared" si="1"/>
        <v>4</v>
      </c>
      <c r="J81" s="1">
        <f t="shared" si="1"/>
        <v>15</v>
      </c>
      <c r="K81" s="1">
        <f t="shared" si="1"/>
        <v>7</v>
      </c>
      <c r="L81" s="1">
        <f t="shared" si="1"/>
        <v>5</v>
      </c>
      <c r="M81" s="1">
        <f t="shared" si="1"/>
        <v>8</v>
      </c>
      <c r="N81" s="1">
        <f t="shared" si="1"/>
        <v>7</v>
      </c>
      <c r="O81" s="1">
        <f t="shared" si="1"/>
        <v>0</v>
      </c>
      <c r="P81" s="1">
        <f t="shared" si="1"/>
        <v>9</v>
      </c>
      <c r="Q81" s="1">
        <f t="shared" si="1"/>
        <v>0</v>
      </c>
    </row>
    <row r="82" spans="1:17" x14ac:dyDescent="0.25">
      <c r="A82" s="1" t="s">
        <v>4</v>
      </c>
      <c r="B82" s="1">
        <f t="shared" si="1"/>
        <v>17</v>
      </c>
      <c r="C82" s="1">
        <f t="shared" si="1"/>
        <v>2</v>
      </c>
      <c r="D82" s="1">
        <f t="shared" si="1"/>
        <v>18</v>
      </c>
      <c r="E82" s="1">
        <f t="shared" si="1"/>
        <v>18</v>
      </c>
      <c r="F82" s="1">
        <f t="shared" si="1"/>
        <v>0</v>
      </c>
      <c r="G82" s="1">
        <f t="shared" si="1"/>
        <v>17</v>
      </c>
      <c r="H82" s="1">
        <f t="shared" si="1"/>
        <v>24</v>
      </c>
      <c r="I82" s="1">
        <f t="shared" si="1"/>
        <v>10</v>
      </c>
      <c r="J82" s="1">
        <f t="shared" si="1"/>
        <v>11</v>
      </c>
      <c r="K82" s="1">
        <f t="shared" si="1"/>
        <v>11</v>
      </c>
      <c r="L82" s="1">
        <f t="shared" si="1"/>
        <v>4</v>
      </c>
      <c r="M82" s="1">
        <f t="shared" si="1"/>
        <v>13</v>
      </c>
      <c r="N82" s="1">
        <f t="shared" si="1"/>
        <v>7</v>
      </c>
      <c r="O82" s="1">
        <f t="shared" si="1"/>
        <v>2</v>
      </c>
      <c r="P82" s="1">
        <f t="shared" si="1"/>
        <v>12</v>
      </c>
      <c r="Q82" s="1">
        <f t="shared" si="1"/>
        <v>0</v>
      </c>
    </row>
    <row r="83" spans="1:17" x14ac:dyDescent="0.25">
      <c r="A83" s="1" t="s">
        <v>6</v>
      </c>
      <c r="B83" s="1">
        <f t="shared" si="1"/>
        <v>14</v>
      </c>
      <c r="C83" s="1">
        <f t="shared" si="1"/>
        <v>1</v>
      </c>
      <c r="D83" s="1">
        <f t="shared" si="1"/>
        <v>8</v>
      </c>
      <c r="E83" s="1">
        <f t="shared" si="1"/>
        <v>17</v>
      </c>
      <c r="F83" s="1">
        <f t="shared" si="1"/>
        <v>17</v>
      </c>
      <c r="G83" s="1">
        <f t="shared" si="1"/>
        <v>0</v>
      </c>
      <c r="H83" s="1">
        <f t="shared" si="1"/>
        <v>23</v>
      </c>
      <c r="I83" s="1">
        <f t="shared" si="1"/>
        <v>6</v>
      </c>
      <c r="J83" s="1">
        <f t="shared" si="1"/>
        <v>14</v>
      </c>
      <c r="K83" s="1">
        <f t="shared" si="1"/>
        <v>10</v>
      </c>
      <c r="L83" s="1">
        <f t="shared" si="1"/>
        <v>5</v>
      </c>
      <c r="M83" s="1">
        <f t="shared" si="1"/>
        <v>11</v>
      </c>
      <c r="N83" s="1">
        <f t="shared" si="1"/>
        <v>5</v>
      </c>
      <c r="O83" s="1">
        <f t="shared" si="1"/>
        <v>1</v>
      </c>
      <c r="P83" s="1">
        <f t="shared" si="1"/>
        <v>10</v>
      </c>
      <c r="Q83" s="1">
        <f t="shared" si="1"/>
        <v>0</v>
      </c>
    </row>
    <row r="84" spans="1:17" x14ac:dyDescent="0.25">
      <c r="A84" s="1" t="s">
        <v>5</v>
      </c>
      <c r="B84" s="1">
        <f t="shared" si="1"/>
        <v>13</v>
      </c>
      <c r="C84" s="1">
        <f t="shared" si="1"/>
        <v>4</v>
      </c>
      <c r="D84" s="1">
        <f t="shared" si="1"/>
        <v>16</v>
      </c>
      <c r="E84" s="1">
        <f t="shared" si="1"/>
        <v>16</v>
      </c>
      <c r="F84" s="1">
        <f t="shared" si="1"/>
        <v>24</v>
      </c>
      <c r="G84" s="1">
        <f t="shared" si="1"/>
        <v>23</v>
      </c>
      <c r="H84" s="1">
        <f t="shared" si="1"/>
        <v>0</v>
      </c>
      <c r="I84" s="1">
        <f t="shared" si="1"/>
        <v>12</v>
      </c>
      <c r="J84" s="1">
        <f t="shared" si="1"/>
        <v>15</v>
      </c>
      <c r="K84" s="1">
        <f t="shared" si="1"/>
        <v>14</v>
      </c>
      <c r="L84" s="1">
        <f t="shared" si="1"/>
        <v>6</v>
      </c>
      <c r="M84" s="1">
        <f t="shared" si="1"/>
        <v>9</v>
      </c>
      <c r="N84" s="1">
        <f t="shared" si="1"/>
        <v>4</v>
      </c>
      <c r="O84" s="1">
        <f t="shared" si="1"/>
        <v>0</v>
      </c>
      <c r="P84" s="1">
        <f t="shared" si="1"/>
        <v>11</v>
      </c>
      <c r="Q84" s="1">
        <f t="shared" si="1"/>
        <v>0</v>
      </c>
    </row>
    <row r="85" spans="1:17" x14ac:dyDescent="0.25">
      <c r="A85" s="1" t="s">
        <v>8</v>
      </c>
      <c r="B85" s="1">
        <f t="shared" si="1"/>
        <v>5</v>
      </c>
      <c r="C85" s="1">
        <f t="shared" si="1"/>
        <v>2</v>
      </c>
      <c r="D85" s="1">
        <f t="shared" si="1"/>
        <v>9</v>
      </c>
      <c r="E85" s="1">
        <f t="shared" si="1"/>
        <v>4</v>
      </c>
      <c r="F85" s="1">
        <f t="shared" si="1"/>
        <v>10</v>
      </c>
      <c r="G85" s="1">
        <f t="shared" si="1"/>
        <v>6</v>
      </c>
      <c r="H85" s="1">
        <f t="shared" si="1"/>
        <v>12</v>
      </c>
      <c r="I85" s="1">
        <f t="shared" si="1"/>
        <v>0</v>
      </c>
      <c r="J85" s="1">
        <f t="shared" si="1"/>
        <v>15</v>
      </c>
      <c r="K85" s="1">
        <f t="shared" si="1"/>
        <v>9</v>
      </c>
      <c r="L85" s="1">
        <f t="shared" si="1"/>
        <v>3</v>
      </c>
      <c r="M85" s="1">
        <f t="shared" si="1"/>
        <v>6</v>
      </c>
      <c r="N85" s="1">
        <f t="shared" si="1"/>
        <v>13</v>
      </c>
      <c r="O85" s="1">
        <f t="shared" si="1"/>
        <v>5</v>
      </c>
      <c r="P85" s="1">
        <f t="shared" si="1"/>
        <v>5</v>
      </c>
      <c r="Q85" s="1">
        <f t="shared" si="1"/>
        <v>4</v>
      </c>
    </row>
    <row r="86" spans="1:17" x14ac:dyDescent="0.25">
      <c r="A86" s="1" t="s">
        <v>12</v>
      </c>
      <c r="B86" s="1">
        <f t="shared" si="1"/>
        <v>25</v>
      </c>
      <c r="C86" s="1">
        <f t="shared" si="1"/>
        <v>4</v>
      </c>
      <c r="D86" s="1">
        <f t="shared" si="1"/>
        <v>9</v>
      </c>
      <c r="E86" s="1">
        <f t="shared" si="1"/>
        <v>15</v>
      </c>
      <c r="F86" s="1">
        <f t="shared" si="1"/>
        <v>11</v>
      </c>
      <c r="G86" s="1">
        <f t="shared" si="1"/>
        <v>14</v>
      </c>
      <c r="H86" s="1">
        <f t="shared" si="1"/>
        <v>15</v>
      </c>
      <c r="I86" s="1">
        <f t="shared" si="1"/>
        <v>15</v>
      </c>
      <c r="J86" s="1">
        <f t="shared" si="1"/>
        <v>0</v>
      </c>
      <c r="K86" s="1">
        <f t="shared" si="1"/>
        <v>9</v>
      </c>
      <c r="L86" s="1">
        <f t="shared" si="1"/>
        <v>11</v>
      </c>
      <c r="M86" s="1">
        <f t="shared" si="1"/>
        <v>10</v>
      </c>
      <c r="N86" s="1">
        <f t="shared" si="1"/>
        <v>7</v>
      </c>
      <c r="O86" s="1">
        <f t="shared" si="1"/>
        <v>2</v>
      </c>
      <c r="P86" s="1">
        <f t="shared" si="1"/>
        <v>15</v>
      </c>
      <c r="Q86" s="1">
        <f t="shared" si="1"/>
        <v>4</v>
      </c>
    </row>
    <row r="87" spans="1:17" x14ac:dyDescent="0.25">
      <c r="A87" s="2" t="s">
        <v>23</v>
      </c>
      <c r="B87" s="1">
        <f t="shared" si="1"/>
        <v>6</v>
      </c>
      <c r="C87" s="1">
        <f t="shared" si="1"/>
        <v>5</v>
      </c>
      <c r="D87" s="1">
        <f t="shared" si="1"/>
        <v>6</v>
      </c>
      <c r="E87" s="1">
        <f t="shared" si="1"/>
        <v>7</v>
      </c>
      <c r="F87" s="1">
        <f t="shared" si="1"/>
        <v>11</v>
      </c>
      <c r="G87" s="1">
        <f t="shared" si="1"/>
        <v>10</v>
      </c>
      <c r="H87" s="1">
        <f t="shared" si="1"/>
        <v>14</v>
      </c>
      <c r="I87" s="1">
        <f t="shared" si="1"/>
        <v>9</v>
      </c>
      <c r="J87" s="1">
        <f t="shared" si="1"/>
        <v>9</v>
      </c>
      <c r="K87" s="1">
        <f t="shared" si="1"/>
        <v>0</v>
      </c>
      <c r="L87" s="1">
        <f t="shared" si="1"/>
        <v>5</v>
      </c>
      <c r="M87" s="1">
        <f t="shared" si="1"/>
        <v>7</v>
      </c>
      <c r="N87" s="1">
        <f t="shared" si="1"/>
        <v>3</v>
      </c>
      <c r="O87" s="1">
        <f t="shared" si="1"/>
        <v>2</v>
      </c>
      <c r="P87" s="1">
        <f t="shared" si="1"/>
        <v>3</v>
      </c>
      <c r="Q87" s="1">
        <f t="shared" si="1"/>
        <v>2</v>
      </c>
    </row>
    <row r="88" spans="1:17" x14ac:dyDescent="0.25">
      <c r="A88" s="2" t="s">
        <v>11</v>
      </c>
      <c r="B88" s="1">
        <f t="shared" si="1"/>
        <v>11</v>
      </c>
      <c r="C88" s="1">
        <f t="shared" si="1"/>
        <v>4</v>
      </c>
      <c r="D88" s="1">
        <f t="shared" si="1"/>
        <v>9</v>
      </c>
      <c r="E88" s="1">
        <f t="shared" si="1"/>
        <v>5</v>
      </c>
      <c r="F88" s="1">
        <f t="shared" si="1"/>
        <v>4</v>
      </c>
      <c r="G88" s="1">
        <f t="shared" si="1"/>
        <v>5</v>
      </c>
      <c r="H88" s="1">
        <f t="shared" si="1"/>
        <v>6</v>
      </c>
      <c r="I88" s="1">
        <f t="shared" si="1"/>
        <v>3</v>
      </c>
      <c r="J88" s="1">
        <f t="shared" si="1"/>
        <v>11</v>
      </c>
      <c r="K88" s="1">
        <f t="shared" si="1"/>
        <v>5</v>
      </c>
      <c r="L88" s="1">
        <f t="shared" si="1"/>
        <v>0</v>
      </c>
      <c r="M88" s="1">
        <f t="shared" si="1"/>
        <v>4</v>
      </c>
      <c r="N88" s="1">
        <f t="shared" si="1"/>
        <v>2</v>
      </c>
      <c r="O88" s="1">
        <f t="shared" si="1"/>
        <v>0</v>
      </c>
      <c r="P88" s="1">
        <f t="shared" si="1"/>
        <v>6</v>
      </c>
      <c r="Q88" s="1">
        <f t="shared" si="1"/>
        <v>2</v>
      </c>
    </row>
    <row r="89" spans="1:17" x14ac:dyDescent="0.25">
      <c r="A89" s="1" t="s">
        <v>9</v>
      </c>
      <c r="B89" s="1">
        <f t="shared" si="1"/>
        <v>3</v>
      </c>
      <c r="C89" s="1">
        <f t="shared" si="1"/>
        <v>2</v>
      </c>
      <c r="D89" s="1">
        <f t="shared" si="1"/>
        <v>4</v>
      </c>
      <c r="E89" s="1">
        <f t="shared" si="1"/>
        <v>8</v>
      </c>
      <c r="F89" s="1">
        <f t="shared" si="1"/>
        <v>13</v>
      </c>
      <c r="G89" s="1">
        <f t="shared" si="1"/>
        <v>11</v>
      </c>
      <c r="H89" s="1">
        <f t="shared" si="1"/>
        <v>9</v>
      </c>
      <c r="I89" s="1">
        <f t="shared" si="1"/>
        <v>6</v>
      </c>
      <c r="J89" s="1">
        <f t="shared" si="1"/>
        <v>10</v>
      </c>
      <c r="K89" s="1">
        <f t="shared" si="1"/>
        <v>7</v>
      </c>
      <c r="L89" s="1">
        <f t="shared" si="1"/>
        <v>4</v>
      </c>
      <c r="M89" s="1">
        <f t="shared" si="1"/>
        <v>0</v>
      </c>
      <c r="N89" s="1">
        <f t="shared" si="1"/>
        <v>2</v>
      </c>
      <c r="O89" s="1">
        <f t="shared" si="1"/>
        <v>0</v>
      </c>
      <c r="P89" s="1">
        <f t="shared" si="1"/>
        <v>5</v>
      </c>
      <c r="Q89" s="1">
        <f t="shared" si="1"/>
        <v>2</v>
      </c>
    </row>
    <row r="90" spans="1:17" x14ac:dyDescent="0.25">
      <c r="A90" s="1" t="s">
        <v>24</v>
      </c>
      <c r="B90" s="1">
        <f t="shared" si="1"/>
        <v>4</v>
      </c>
      <c r="C90" s="1">
        <f t="shared" si="1"/>
        <v>0</v>
      </c>
      <c r="D90" s="1">
        <f t="shared" si="1"/>
        <v>7</v>
      </c>
      <c r="E90" s="1">
        <f t="shared" si="1"/>
        <v>7</v>
      </c>
      <c r="F90" s="1">
        <f t="shared" si="1"/>
        <v>7</v>
      </c>
      <c r="G90" s="1">
        <f t="shared" si="1"/>
        <v>5</v>
      </c>
      <c r="H90" s="1">
        <f t="shared" si="1"/>
        <v>4</v>
      </c>
      <c r="I90" s="1">
        <f t="shared" si="1"/>
        <v>13</v>
      </c>
      <c r="J90" s="1">
        <f t="shared" si="1"/>
        <v>7</v>
      </c>
      <c r="K90" s="1">
        <f t="shared" si="1"/>
        <v>3</v>
      </c>
      <c r="L90" s="1">
        <f t="shared" si="1"/>
        <v>2</v>
      </c>
      <c r="M90" s="1">
        <f t="shared" si="1"/>
        <v>2</v>
      </c>
      <c r="N90" s="1">
        <f t="shared" si="1"/>
        <v>0</v>
      </c>
      <c r="O90" s="1">
        <f t="shared" si="1"/>
        <v>7</v>
      </c>
      <c r="P90" s="1">
        <f t="shared" si="1"/>
        <v>1</v>
      </c>
      <c r="Q90" s="1">
        <f t="shared" si="1"/>
        <v>1</v>
      </c>
    </row>
    <row r="91" spans="1:17" x14ac:dyDescent="0.25">
      <c r="A91" s="1" t="s">
        <v>26</v>
      </c>
      <c r="B91" s="1">
        <f t="shared" si="1"/>
        <v>2</v>
      </c>
      <c r="C91" s="1">
        <f t="shared" si="1"/>
        <v>0</v>
      </c>
      <c r="D91" s="1">
        <f t="shared" si="1"/>
        <v>3</v>
      </c>
      <c r="E91" s="1">
        <f t="shared" si="1"/>
        <v>0</v>
      </c>
      <c r="F91" s="1">
        <f t="shared" si="1"/>
        <v>2</v>
      </c>
      <c r="G91" s="1">
        <f t="shared" si="1"/>
        <v>1</v>
      </c>
      <c r="H91" s="1">
        <f t="shared" si="1"/>
        <v>0</v>
      </c>
      <c r="I91" s="1">
        <f t="shared" si="1"/>
        <v>5</v>
      </c>
      <c r="J91" s="1">
        <f t="shared" si="1"/>
        <v>2</v>
      </c>
      <c r="K91" s="1">
        <f t="shared" si="1"/>
        <v>2</v>
      </c>
      <c r="L91" s="1">
        <f t="shared" si="1"/>
        <v>0</v>
      </c>
      <c r="M91" s="1">
        <f t="shared" si="1"/>
        <v>0</v>
      </c>
      <c r="N91" s="1">
        <f t="shared" si="1"/>
        <v>7</v>
      </c>
      <c r="O91" s="1">
        <f t="shared" si="1"/>
        <v>0</v>
      </c>
      <c r="P91" s="1">
        <f t="shared" si="1"/>
        <v>0</v>
      </c>
      <c r="Q91" s="1">
        <f t="shared" si="1"/>
        <v>0</v>
      </c>
    </row>
    <row r="92" spans="1:17" x14ac:dyDescent="0.25">
      <c r="A92" s="1" t="s">
        <v>7</v>
      </c>
      <c r="B92" s="1">
        <f t="shared" si="1"/>
        <v>16</v>
      </c>
      <c r="C92" s="1">
        <f t="shared" si="1"/>
        <v>2</v>
      </c>
      <c r="D92" s="1">
        <f t="shared" si="1"/>
        <v>12</v>
      </c>
      <c r="E92" s="1">
        <f t="shared" si="1"/>
        <v>9</v>
      </c>
      <c r="F92" s="1">
        <f t="shared" si="1"/>
        <v>12</v>
      </c>
      <c r="G92" s="1">
        <f t="shared" si="1"/>
        <v>10</v>
      </c>
      <c r="H92" s="1">
        <f t="shared" si="1"/>
        <v>11</v>
      </c>
      <c r="I92" s="1">
        <f t="shared" si="1"/>
        <v>5</v>
      </c>
      <c r="J92" s="1">
        <f t="shared" si="1"/>
        <v>15</v>
      </c>
      <c r="K92" s="1">
        <f t="shared" si="1"/>
        <v>3</v>
      </c>
      <c r="L92" s="1">
        <f t="shared" si="1"/>
        <v>6</v>
      </c>
      <c r="M92" s="1">
        <f t="shared" si="1"/>
        <v>5</v>
      </c>
      <c r="N92" s="1">
        <f t="shared" si="1"/>
        <v>1</v>
      </c>
      <c r="O92" s="1">
        <f t="shared" si="1"/>
        <v>0</v>
      </c>
      <c r="P92" s="1">
        <f t="shared" si="1"/>
        <v>0</v>
      </c>
      <c r="Q92" s="1">
        <f t="shared" si="1"/>
        <v>0</v>
      </c>
    </row>
    <row r="93" spans="1:17" x14ac:dyDescent="0.25">
      <c r="A93" s="1" t="s">
        <v>10</v>
      </c>
      <c r="B93" s="1">
        <f t="shared" si="1"/>
        <v>1</v>
      </c>
      <c r="C93" s="1">
        <f t="shared" si="1"/>
        <v>0</v>
      </c>
      <c r="D93" s="1">
        <f t="shared" si="1"/>
        <v>0</v>
      </c>
      <c r="E93" s="1">
        <f t="shared" si="1"/>
        <v>0</v>
      </c>
      <c r="F93" s="1">
        <f t="shared" si="1"/>
        <v>0</v>
      </c>
      <c r="G93" s="1">
        <f t="shared" si="1"/>
        <v>0</v>
      </c>
      <c r="H93" s="1">
        <f t="shared" si="1"/>
        <v>0</v>
      </c>
      <c r="I93" s="1">
        <f t="shared" si="1"/>
        <v>4</v>
      </c>
      <c r="J93" s="1">
        <f t="shared" si="1"/>
        <v>4</v>
      </c>
      <c r="K93" s="1">
        <f t="shared" si="1"/>
        <v>2</v>
      </c>
      <c r="L93" s="1">
        <f t="shared" si="1"/>
        <v>2</v>
      </c>
      <c r="M93" s="1">
        <f t="shared" si="1"/>
        <v>2</v>
      </c>
      <c r="N93" s="1">
        <f t="shared" si="1"/>
        <v>1</v>
      </c>
      <c r="O93" s="1">
        <f t="shared" si="1"/>
        <v>0</v>
      </c>
      <c r="P93" s="1">
        <f t="shared" si="1"/>
        <v>0</v>
      </c>
      <c r="Q93" s="1">
        <f t="shared" si="1"/>
        <v>0</v>
      </c>
    </row>
    <row r="96" spans="1:17" x14ac:dyDescent="0.25">
      <c r="A96" s="3" t="s">
        <v>93</v>
      </c>
    </row>
    <row r="97" spans="1:17" x14ac:dyDescent="0.25">
      <c r="B97" s="1" t="s">
        <v>3</v>
      </c>
      <c r="C97" s="1" t="s">
        <v>18</v>
      </c>
      <c r="D97" s="1" t="s">
        <v>16</v>
      </c>
      <c r="E97" s="1" t="s">
        <v>22</v>
      </c>
      <c r="F97" s="1" t="s">
        <v>4</v>
      </c>
      <c r="G97" s="1" t="s">
        <v>6</v>
      </c>
      <c r="H97" s="1" t="s">
        <v>5</v>
      </c>
      <c r="I97" s="1" t="s">
        <v>8</v>
      </c>
      <c r="J97" s="1" t="s">
        <v>12</v>
      </c>
      <c r="K97" s="2" t="s">
        <v>23</v>
      </c>
      <c r="L97" s="2" t="s">
        <v>11</v>
      </c>
      <c r="M97" s="1" t="s">
        <v>9</v>
      </c>
      <c r="N97" s="1" t="s">
        <v>24</v>
      </c>
      <c r="O97" s="1" t="s">
        <v>26</v>
      </c>
      <c r="P97" s="1" t="s">
        <v>7</v>
      </c>
      <c r="Q97" s="1" t="s">
        <v>10</v>
      </c>
    </row>
    <row r="98" spans="1:17" x14ac:dyDescent="0.25">
      <c r="A98" s="1" t="s">
        <v>3</v>
      </c>
      <c r="B98" s="7" t="str">
        <f t="shared" ref="B98:Q113" si="2">IFERROR(B38/B78,"")</f>
        <v/>
      </c>
      <c r="C98" s="7">
        <f t="shared" si="2"/>
        <v>0.6</v>
      </c>
      <c r="D98" s="7">
        <f t="shared" si="2"/>
        <v>0.5</v>
      </c>
      <c r="E98" s="7">
        <f t="shared" si="2"/>
        <v>0.46153846153846156</v>
      </c>
      <c r="F98" s="7">
        <f t="shared" si="2"/>
        <v>0.6470588235294118</v>
      </c>
      <c r="G98" s="7">
        <f t="shared" si="2"/>
        <v>0.7142857142857143</v>
      </c>
      <c r="H98" s="7">
        <f t="shared" si="2"/>
        <v>0.69230769230769229</v>
      </c>
      <c r="I98" s="7">
        <f t="shared" si="2"/>
        <v>0.8</v>
      </c>
      <c r="J98" s="7">
        <f t="shared" si="2"/>
        <v>0.56000000000000005</v>
      </c>
      <c r="K98" s="7">
        <f t="shared" si="2"/>
        <v>0.5</v>
      </c>
      <c r="L98" s="7">
        <f t="shared" si="2"/>
        <v>0.63636363636363635</v>
      </c>
      <c r="M98" s="7">
        <f t="shared" si="2"/>
        <v>0.33333333333333331</v>
      </c>
      <c r="N98" s="7">
        <f t="shared" si="2"/>
        <v>0.25</v>
      </c>
      <c r="O98" s="7">
        <f t="shared" si="2"/>
        <v>0</v>
      </c>
      <c r="P98" s="7">
        <f t="shared" si="2"/>
        <v>0.8125</v>
      </c>
      <c r="Q98" s="7">
        <f t="shared" si="2"/>
        <v>0</v>
      </c>
    </row>
    <row r="99" spans="1:17" x14ac:dyDescent="0.25">
      <c r="A99" s="1" t="s">
        <v>18</v>
      </c>
      <c r="B99" s="7">
        <f t="shared" si="2"/>
        <v>0.6</v>
      </c>
      <c r="C99" s="7" t="str">
        <f t="shared" si="2"/>
        <v/>
      </c>
      <c r="D99" s="7">
        <f t="shared" si="2"/>
        <v>1</v>
      </c>
      <c r="E99" s="7">
        <f t="shared" si="2"/>
        <v>0</v>
      </c>
      <c r="F99" s="7">
        <f t="shared" si="2"/>
        <v>0.5</v>
      </c>
      <c r="G99" s="7">
        <f t="shared" si="2"/>
        <v>0</v>
      </c>
      <c r="H99" s="7">
        <f t="shared" si="2"/>
        <v>0.25</v>
      </c>
      <c r="I99" s="7">
        <f t="shared" si="2"/>
        <v>0.5</v>
      </c>
      <c r="J99" s="7">
        <f t="shared" si="2"/>
        <v>0.25</v>
      </c>
      <c r="K99" s="7">
        <f t="shared" si="2"/>
        <v>0.2</v>
      </c>
      <c r="L99" s="7">
        <f t="shared" si="2"/>
        <v>0.5</v>
      </c>
      <c r="M99" s="7">
        <f t="shared" si="2"/>
        <v>0</v>
      </c>
      <c r="N99" s="7" t="str">
        <f t="shared" si="2"/>
        <v/>
      </c>
      <c r="O99" s="7" t="str">
        <f t="shared" si="2"/>
        <v/>
      </c>
      <c r="P99" s="7">
        <f t="shared" si="2"/>
        <v>0.5</v>
      </c>
      <c r="Q99" s="7" t="str">
        <f t="shared" si="2"/>
        <v/>
      </c>
    </row>
    <row r="100" spans="1:17" x14ac:dyDescent="0.25">
      <c r="A100" s="1" t="s">
        <v>16</v>
      </c>
      <c r="B100" s="7">
        <f t="shared" si="2"/>
        <v>0.5</v>
      </c>
      <c r="C100" s="7">
        <f t="shared" si="2"/>
        <v>1</v>
      </c>
      <c r="D100" s="7" t="str">
        <f t="shared" si="2"/>
        <v/>
      </c>
      <c r="E100" s="7">
        <f t="shared" si="2"/>
        <v>0.27272727272727271</v>
      </c>
      <c r="F100" s="7">
        <f t="shared" si="2"/>
        <v>0.55555555555555558</v>
      </c>
      <c r="G100" s="7">
        <f t="shared" si="2"/>
        <v>0.375</v>
      </c>
      <c r="H100" s="7">
        <f t="shared" si="2"/>
        <v>0.4375</v>
      </c>
      <c r="I100" s="7">
        <f t="shared" si="2"/>
        <v>0.44444444444444442</v>
      </c>
      <c r="J100" s="7">
        <f t="shared" si="2"/>
        <v>0.44444444444444442</v>
      </c>
      <c r="K100" s="7">
        <f t="shared" si="2"/>
        <v>0.33333333333333331</v>
      </c>
      <c r="L100" s="7">
        <f t="shared" si="2"/>
        <v>0.44444444444444442</v>
      </c>
      <c r="M100" s="7">
        <f t="shared" si="2"/>
        <v>0.25</v>
      </c>
      <c r="N100" s="7">
        <f t="shared" si="2"/>
        <v>0.14285714285714285</v>
      </c>
      <c r="O100" s="7">
        <f t="shared" si="2"/>
        <v>0.33333333333333331</v>
      </c>
      <c r="P100" s="7">
        <f t="shared" si="2"/>
        <v>0.66666666666666663</v>
      </c>
      <c r="Q100" s="7" t="str">
        <f t="shared" si="2"/>
        <v/>
      </c>
    </row>
    <row r="101" spans="1:17" x14ac:dyDescent="0.25">
      <c r="A101" s="1" t="s">
        <v>22</v>
      </c>
      <c r="B101" s="7">
        <f t="shared" si="2"/>
        <v>0.46153846153846156</v>
      </c>
      <c r="C101" s="7">
        <f t="shared" si="2"/>
        <v>0</v>
      </c>
      <c r="D101" s="7">
        <f t="shared" si="2"/>
        <v>0.27272727272727271</v>
      </c>
      <c r="E101" s="7" t="str">
        <f t="shared" si="2"/>
        <v/>
      </c>
      <c r="F101" s="7">
        <f t="shared" si="2"/>
        <v>0.61111111111111116</v>
      </c>
      <c r="G101" s="7">
        <f t="shared" si="2"/>
        <v>0.52941176470588236</v>
      </c>
      <c r="H101" s="7">
        <f t="shared" si="2"/>
        <v>0.5625</v>
      </c>
      <c r="I101" s="7">
        <f t="shared" si="2"/>
        <v>0.5</v>
      </c>
      <c r="J101" s="7">
        <f t="shared" si="2"/>
        <v>0.46666666666666667</v>
      </c>
      <c r="K101" s="7">
        <f t="shared" si="2"/>
        <v>0.14285714285714285</v>
      </c>
      <c r="L101" s="7">
        <f t="shared" si="2"/>
        <v>0.4</v>
      </c>
      <c r="M101" s="7">
        <f t="shared" si="2"/>
        <v>0.5</v>
      </c>
      <c r="N101" s="7">
        <f t="shared" si="2"/>
        <v>0.42857142857142855</v>
      </c>
      <c r="O101" s="7" t="str">
        <f t="shared" si="2"/>
        <v/>
      </c>
      <c r="P101" s="7">
        <f t="shared" si="2"/>
        <v>0.55555555555555558</v>
      </c>
      <c r="Q101" s="7" t="str">
        <f t="shared" si="2"/>
        <v/>
      </c>
    </row>
    <row r="102" spans="1:17" x14ac:dyDescent="0.25">
      <c r="A102" s="1" t="s">
        <v>4</v>
      </c>
      <c r="B102" s="7">
        <f t="shared" si="2"/>
        <v>0.6470588235294118</v>
      </c>
      <c r="C102" s="7">
        <f t="shared" si="2"/>
        <v>0.5</v>
      </c>
      <c r="D102" s="7">
        <f t="shared" si="2"/>
        <v>0.55555555555555558</v>
      </c>
      <c r="E102" s="7">
        <f t="shared" si="2"/>
        <v>0.61111111111111116</v>
      </c>
      <c r="F102" s="7" t="str">
        <f t="shared" si="2"/>
        <v/>
      </c>
      <c r="G102" s="7">
        <f t="shared" si="2"/>
        <v>0.6470588235294118</v>
      </c>
      <c r="H102" s="7">
        <f t="shared" si="2"/>
        <v>0.625</v>
      </c>
      <c r="I102" s="7">
        <f t="shared" si="2"/>
        <v>0.7</v>
      </c>
      <c r="J102" s="7">
        <f t="shared" si="2"/>
        <v>0.72727272727272729</v>
      </c>
      <c r="K102" s="7">
        <f t="shared" si="2"/>
        <v>0.45454545454545453</v>
      </c>
      <c r="L102" s="7">
        <f t="shared" si="2"/>
        <v>0.25</v>
      </c>
      <c r="M102" s="7">
        <f t="shared" si="2"/>
        <v>0.38461538461538464</v>
      </c>
      <c r="N102" s="7">
        <f t="shared" si="2"/>
        <v>0.5714285714285714</v>
      </c>
      <c r="O102" s="7">
        <f t="shared" si="2"/>
        <v>1</v>
      </c>
      <c r="P102" s="7">
        <f t="shared" si="2"/>
        <v>0.91666666666666663</v>
      </c>
      <c r="Q102" s="7" t="str">
        <f t="shared" si="2"/>
        <v/>
      </c>
    </row>
    <row r="103" spans="1:17" x14ac:dyDescent="0.25">
      <c r="A103" s="1" t="s">
        <v>6</v>
      </c>
      <c r="B103" s="7">
        <f t="shared" si="2"/>
        <v>0.7142857142857143</v>
      </c>
      <c r="C103" s="7">
        <f t="shared" si="2"/>
        <v>0</v>
      </c>
      <c r="D103" s="7">
        <f t="shared" si="2"/>
        <v>0.375</v>
      </c>
      <c r="E103" s="7">
        <f t="shared" si="2"/>
        <v>0.52941176470588236</v>
      </c>
      <c r="F103" s="7">
        <f t="shared" si="2"/>
        <v>0.6470588235294118</v>
      </c>
      <c r="G103" s="7" t="str">
        <f t="shared" si="2"/>
        <v/>
      </c>
      <c r="H103" s="7">
        <f t="shared" si="2"/>
        <v>0.60869565217391308</v>
      </c>
      <c r="I103" s="7">
        <f t="shared" si="2"/>
        <v>0.33333333333333331</v>
      </c>
      <c r="J103" s="7">
        <f t="shared" si="2"/>
        <v>0.5714285714285714</v>
      </c>
      <c r="K103" s="7">
        <f t="shared" si="2"/>
        <v>0.4</v>
      </c>
      <c r="L103" s="7">
        <f t="shared" si="2"/>
        <v>0.6</v>
      </c>
      <c r="M103" s="7">
        <f t="shared" si="2"/>
        <v>0.45454545454545453</v>
      </c>
      <c r="N103" s="7">
        <f t="shared" si="2"/>
        <v>0.4</v>
      </c>
      <c r="O103" s="7">
        <f t="shared" si="2"/>
        <v>0</v>
      </c>
      <c r="P103" s="7">
        <f t="shared" si="2"/>
        <v>0.9</v>
      </c>
      <c r="Q103" s="7" t="str">
        <f t="shared" si="2"/>
        <v/>
      </c>
    </row>
    <row r="104" spans="1:17" x14ac:dyDescent="0.25">
      <c r="A104" s="1" t="s">
        <v>5</v>
      </c>
      <c r="B104" s="7">
        <f t="shared" si="2"/>
        <v>0.69230769230769229</v>
      </c>
      <c r="C104" s="7">
        <f t="shared" si="2"/>
        <v>0.25</v>
      </c>
      <c r="D104" s="7">
        <f t="shared" si="2"/>
        <v>0.4375</v>
      </c>
      <c r="E104" s="7">
        <f t="shared" si="2"/>
        <v>0.5625</v>
      </c>
      <c r="F104" s="7">
        <f t="shared" si="2"/>
        <v>0.625</v>
      </c>
      <c r="G104" s="7">
        <f t="shared" si="2"/>
        <v>0.60869565217391308</v>
      </c>
      <c r="H104" s="7" t="str">
        <f t="shared" si="2"/>
        <v/>
      </c>
      <c r="I104" s="7">
        <f t="shared" si="2"/>
        <v>0.41666666666666669</v>
      </c>
      <c r="J104" s="7">
        <f t="shared" si="2"/>
        <v>0.53333333333333333</v>
      </c>
      <c r="K104" s="7">
        <f t="shared" si="2"/>
        <v>0.42857142857142855</v>
      </c>
      <c r="L104" s="7">
        <f t="shared" si="2"/>
        <v>0.5</v>
      </c>
      <c r="M104" s="7">
        <f t="shared" si="2"/>
        <v>0.44444444444444442</v>
      </c>
      <c r="N104" s="7">
        <f t="shared" si="2"/>
        <v>0.25</v>
      </c>
      <c r="O104" s="7" t="str">
        <f t="shared" si="2"/>
        <v/>
      </c>
      <c r="P104" s="7">
        <f t="shared" si="2"/>
        <v>0.90909090909090906</v>
      </c>
      <c r="Q104" s="7" t="str">
        <f t="shared" si="2"/>
        <v/>
      </c>
    </row>
    <row r="105" spans="1:17" x14ac:dyDescent="0.25">
      <c r="A105" s="1" t="s">
        <v>8</v>
      </c>
      <c r="B105" s="7">
        <f t="shared" si="2"/>
        <v>0.8</v>
      </c>
      <c r="C105" s="7">
        <f t="shared" si="2"/>
        <v>0.5</v>
      </c>
      <c r="D105" s="7">
        <f t="shared" si="2"/>
        <v>0.44444444444444442</v>
      </c>
      <c r="E105" s="7">
        <f t="shared" si="2"/>
        <v>0.5</v>
      </c>
      <c r="F105" s="7">
        <f t="shared" si="2"/>
        <v>0.7</v>
      </c>
      <c r="G105" s="7">
        <f t="shared" si="2"/>
        <v>0.33333333333333331</v>
      </c>
      <c r="H105" s="7">
        <f t="shared" si="2"/>
        <v>0.41666666666666669</v>
      </c>
      <c r="I105" s="7" t="str">
        <f t="shared" si="2"/>
        <v/>
      </c>
      <c r="J105" s="7">
        <f t="shared" si="2"/>
        <v>0.33333333333333331</v>
      </c>
      <c r="K105" s="7">
        <f t="shared" si="2"/>
        <v>0.44444444444444442</v>
      </c>
      <c r="L105" s="7">
        <f t="shared" si="2"/>
        <v>0.33333333333333331</v>
      </c>
      <c r="M105" s="7">
        <f t="shared" si="2"/>
        <v>0</v>
      </c>
      <c r="N105" s="7">
        <f t="shared" si="2"/>
        <v>0.38461538461538464</v>
      </c>
      <c r="O105" s="7">
        <f t="shared" si="2"/>
        <v>0.6</v>
      </c>
      <c r="P105" s="7">
        <f t="shared" si="2"/>
        <v>1</v>
      </c>
      <c r="Q105" s="7">
        <f t="shared" si="2"/>
        <v>0</v>
      </c>
    </row>
    <row r="106" spans="1:17" x14ac:dyDescent="0.25">
      <c r="A106" s="1" t="s">
        <v>12</v>
      </c>
      <c r="B106" s="7">
        <f t="shared" si="2"/>
        <v>0.56000000000000005</v>
      </c>
      <c r="C106" s="7">
        <f t="shared" si="2"/>
        <v>0.25</v>
      </c>
      <c r="D106" s="7">
        <f t="shared" si="2"/>
        <v>0.44444444444444442</v>
      </c>
      <c r="E106" s="7">
        <f t="shared" si="2"/>
        <v>0.46666666666666667</v>
      </c>
      <c r="F106" s="7">
        <f t="shared" si="2"/>
        <v>0.72727272727272729</v>
      </c>
      <c r="G106" s="7">
        <f t="shared" si="2"/>
        <v>0.5714285714285714</v>
      </c>
      <c r="H106" s="7">
        <f t="shared" si="2"/>
        <v>0.53333333333333333</v>
      </c>
      <c r="I106" s="7">
        <f t="shared" si="2"/>
        <v>0.33333333333333331</v>
      </c>
      <c r="J106" s="7" t="str">
        <f t="shared" si="2"/>
        <v/>
      </c>
      <c r="K106" s="7">
        <f t="shared" si="2"/>
        <v>0.33333333333333331</v>
      </c>
      <c r="L106" s="7">
        <f t="shared" si="2"/>
        <v>0.54545454545454541</v>
      </c>
      <c r="M106" s="7">
        <f t="shared" si="2"/>
        <v>0.5</v>
      </c>
      <c r="N106" s="7">
        <f t="shared" si="2"/>
        <v>0.14285714285714285</v>
      </c>
      <c r="O106" s="7">
        <f t="shared" si="2"/>
        <v>0</v>
      </c>
      <c r="P106" s="7">
        <f t="shared" si="2"/>
        <v>0.73333333333333328</v>
      </c>
      <c r="Q106" s="7">
        <f t="shared" si="2"/>
        <v>0</v>
      </c>
    </row>
    <row r="107" spans="1:17" x14ac:dyDescent="0.25">
      <c r="A107" s="2" t="s">
        <v>23</v>
      </c>
      <c r="B107" s="7">
        <f t="shared" si="2"/>
        <v>0.5</v>
      </c>
      <c r="C107" s="7">
        <f t="shared" si="2"/>
        <v>0.2</v>
      </c>
      <c r="D107" s="7">
        <f t="shared" si="2"/>
        <v>0.33333333333333331</v>
      </c>
      <c r="E107" s="7">
        <f t="shared" si="2"/>
        <v>0.14285714285714285</v>
      </c>
      <c r="F107" s="7">
        <f t="shared" si="2"/>
        <v>0.45454545454545453</v>
      </c>
      <c r="G107" s="7">
        <f t="shared" si="2"/>
        <v>0.4</v>
      </c>
      <c r="H107" s="7">
        <f t="shared" si="2"/>
        <v>0.42857142857142855</v>
      </c>
      <c r="I107" s="7">
        <f t="shared" si="2"/>
        <v>0.44444444444444442</v>
      </c>
      <c r="J107" s="7">
        <f t="shared" si="2"/>
        <v>0.33333333333333331</v>
      </c>
      <c r="K107" s="7" t="str">
        <f t="shared" si="2"/>
        <v/>
      </c>
      <c r="L107" s="7">
        <f t="shared" si="2"/>
        <v>0.6</v>
      </c>
      <c r="M107" s="7">
        <f t="shared" si="2"/>
        <v>0.14285714285714285</v>
      </c>
      <c r="N107" s="7">
        <f t="shared" si="2"/>
        <v>0.66666666666666663</v>
      </c>
      <c r="O107" s="7">
        <f t="shared" si="2"/>
        <v>1</v>
      </c>
      <c r="P107" s="7">
        <f t="shared" si="2"/>
        <v>0.66666666666666663</v>
      </c>
      <c r="Q107" s="7">
        <f t="shared" si="2"/>
        <v>0</v>
      </c>
    </row>
    <row r="108" spans="1:17" x14ac:dyDescent="0.25">
      <c r="A108" s="2" t="s">
        <v>11</v>
      </c>
      <c r="B108" s="7">
        <f t="shared" si="2"/>
        <v>0.63636363636363635</v>
      </c>
      <c r="C108" s="7">
        <f t="shared" si="2"/>
        <v>0.5</v>
      </c>
      <c r="D108" s="7">
        <f t="shared" si="2"/>
        <v>0.44444444444444442</v>
      </c>
      <c r="E108" s="7">
        <f t="shared" si="2"/>
        <v>0.4</v>
      </c>
      <c r="F108" s="7">
        <f t="shared" si="2"/>
        <v>0.25</v>
      </c>
      <c r="G108" s="7">
        <f t="shared" si="2"/>
        <v>0.6</v>
      </c>
      <c r="H108" s="7">
        <f t="shared" si="2"/>
        <v>0.5</v>
      </c>
      <c r="I108" s="7">
        <f t="shared" si="2"/>
        <v>0.33333333333333331</v>
      </c>
      <c r="J108" s="7">
        <f t="shared" si="2"/>
        <v>0.54545454545454541</v>
      </c>
      <c r="K108" s="7">
        <f t="shared" si="2"/>
        <v>0.6</v>
      </c>
      <c r="L108" s="7" t="str">
        <f t="shared" si="2"/>
        <v/>
      </c>
      <c r="M108" s="7">
        <f t="shared" si="2"/>
        <v>0.25</v>
      </c>
      <c r="N108" s="7">
        <f t="shared" si="2"/>
        <v>0.5</v>
      </c>
      <c r="O108" s="7" t="str">
        <f t="shared" si="2"/>
        <v/>
      </c>
      <c r="P108" s="7">
        <f t="shared" si="2"/>
        <v>0.83333333333333337</v>
      </c>
      <c r="Q108" s="7">
        <f t="shared" si="2"/>
        <v>0</v>
      </c>
    </row>
    <row r="109" spans="1:17" x14ac:dyDescent="0.25">
      <c r="A109" s="1" t="s">
        <v>9</v>
      </c>
      <c r="B109" s="7">
        <f t="shared" si="2"/>
        <v>0.33333333333333331</v>
      </c>
      <c r="C109" s="7">
        <f t="shared" si="2"/>
        <v>0</v>
      </c>
      <c r="D109" s="7">
        <f t="shared" si="2"/>
        <v>0.25</v>
      </c>
      <c r="E109" s="7">
        <f t="shared" si="2"/>
        <v>0.5</v>
      </c>
      <c r="F109" s="7">
        <f t="shared" si="2"/>
        <v>0.38461538461538464</v>
      </c>
      <c r="G109" s="7">
        <f t="shared" si="2"/>
        <v>0.45454545454545453</v>
      </c>
      <c r="H109" s="7">
        <f t="shared" si="2"/>
        <v>0.44444444444444442</v>
      </c>
      <c r="I109" s="7">
        <f t="shared" si="2"/>
        <v>0</v>
      </c>
      <c r="J109" s="7">
        <f t="shared" si="2"/>
        <v>0.5</v>
      </c>
      <c r="K109" s="7">
        <f t="shared" si="2"/>
        <v>0.14285714285714285</v>
      </c>
      <c r="L109" s="7">
        <f t="shared" si="2"/>
        <v>0.25</v>
      </c>
      <c r="M109" s="7" t="str">
        <f t="shared" si="2"/>
        <v/>
      </c>
      <c r="N109" s="7">
        <f t="shared" si="2"/>
        <v>0</v>
      </c>
      <c r="O109" s="7" t="str">
        <f t="shared" si="2"/>
        <v/>
      </c>
      <c r="P109" s="7">
        <f t="shared" si="2"/>
        <v>0.8</v>
      </c>
      <c r="Q109" s="7">
        <f t="shared" si="2"/>
        <v>0</v>
      </c>
    </row>
    <row r="110" spans="1:17" x14ac:dyDescent="0.25">
      <c r="A110" s="1" t="s">
        <v>24</v>
      </c>
      <c r="B110" s="7">
        <f t="shared" si="2"/>
        <v>0.25</v>
      </c>
      <c r="C110" s="7" t="str">
        <f t="shared" si="2"/>
        <v/>
      </c>
      <c r="D110" s="7">
        <f t="shared" si="2"/>
        <v>0.14285714285714285</v>
      </c>
      <c r="E110" s="7">
        <f t="shared" si="2"/>
        <v>0.42857142857142855</v>
      </c>
      <c r="F110" s="7">
        <f t="shared" si="2"/>
        <v>0.5714285714285714</v>
      </c>
      <c r="G110" s="7">
        <f t="shared" si="2"/>
        <v>0.4</v>
      </c>
      <c r="H110" s="7">
        <f t="shared" si="2"/>
        <v>0.25</v>
      </c>
      <c r="I110" s="7">
        <f t="shared" si="2"/>
        <v>0.38461538461538464</v>
      </c>
      <c r="J110" s="7">
        <f t="shared" si="2"/>
        <v>0.14285714285714285</v>
      </c>
      <c r="K110" s="7">
        <f t="shared" si="2"/>
        <v>0.66666666666666663</v>
      </c>
      <c r="L110" s="7">
        <f t="shared" si="2"/>
        <v>0.5</v>
      </c>
      <c r="M110" s="7">
        <f t="shared" si="2"/>
        <v>0</v>
      </c>
      <c r="N110" s="7" t="str">
        <f t="shared" si="2"/>
        <v/>
      </c>
      <c r="O110" s="7">
        <f t="shared" si="2"/>
        <v>0.42857142857142855</v>
      </c>
      <c r="P110" s="7">
        <f t="shared" si="2"/>
        <v>1</v>
      </c>
      <c r="Q110" s="7">
        <f t="shared" si="2"/>
        <v>0</v>
      </c>
    </row>
    <row r="111" spans="1:17" x14ac:dyDescent="0.25">
      <c r="A111" s="1" t="s">
        <v>26</v>
      </c>
      <c r="B111" s="7">
        <f t="shared" si="2"/>
        <v>0</v>
      </c>
      <c r="C111" s="7" t="str">
        <f t="shared" si="2"/>
        <v/>
      </c>
      <c r="D111" s="7">
        <f t="shared" si="2"/>
        <v>0.33333333333333331</v>
      </c>
      <c r="E111" s="7" t="str">
        <f t="shared" si="2"/>
        <v/>
      </c>
      <c r="F111" s="7">
        <f t="shared" si="2"/>
        <v>1</v>
      </c>
      <c r="G111" s="7">
        <f t="shared" si="2"/>
        <v>0</v>
      </c>
      <c r="H111" s="7" t="str">
        <f t="shared" si="2"/>
        <v/>
      </c>
      <c r="I111" s="7">
        <f t="shared" si="2"/>
        <v>0.6</v>
      </c>
      <c r="J111" s="7">
        <f t="shared" si="2"/>
        <v>0</v>
      </c>
      <c r="K111" s="7">
        <f t="shared" si="2"/>
        <v>1</v>
      </c>
      <c r="L111" s="7" t="str">
        <f t="shared" si="2"/>
        <v/>
      </c>
      <c r="M111" s="7" t="str">
        <f t="shared" si="2"/>
        <v/>
      </c>
      <c r="N111" s="7">
        <f t="shared" si="2"/>
        <v>0.42857142857142855</v>
      </c>
      <c r="O111" s="7" t="str">
        <f t="shared" si="2"/>
        <v/>
      </c>
      <c r="P111" s="7" t="str">
        <f t="shared" si="2"/>
        <v/>
      </c>
      <c r="Q111" s="7" t="str">
        <f t="shared" si="2"/>
        <v/>
      </c>
    </row>
    <row r="112" spans="1:17" x14ac:dyDescent="0.25">
      <c r="A112" s="1" t="s">
        <v>7</v>
      </c>
      <c r="B112" s="7">
        <f t="shared" si="2"/>
        <v>0.8125</v>
      </c>
      <c r="C112" s="7">
        <f t="shared" si="2"/>
        <v>0.5</v>
      </c>
      <c r="D112" s="7">
        <f t="shared" si="2"/>
        <v>0.66666666666666663</v>
      </c>
      <c r="E112" s="7">
        <f t="shared" si="2"/>
        <v>0.55555555555555558</v>
      </c>
      <c r="F112" s="7">
        <f t="shared" si="2"/>
        <v>0.91666666666666663</v>
      </c>
      <c r="G112" s="7">
        <f t="shared" si="2"/>
        <v>0.9</v>
      </c>
      <c r="H112" s="7">
        <f t="shared" si="2"/>
        <v>0.90909090909090906</v>
      </c>
      <c r="I112" s="7">
        <f t="shared" si="2"/>
        <v>1</v>
      </c>
      <c r="J112" s="7">
        <f t="shared" si="2"/>
        <v>0.73333333333333328</v>
      </c>
      <c r="K112" s="7">
        <f t="shared" si="2"/>
        <v>0.66666666666666663</v>
      </c>
      <c r="L112" s="7">
        <f t="shared" si="2"/>
        <v>0.83333333333333337</v>
      </c>
      <c r="M112" s="7">
        <f t="shared" si="2"/>
        <v>0.8</v>
      </c>
      <c r="N112" s="7">
        <f t="shared" si="2"/>
        <v>1</v>
      </c>
      <c r="O112" s="7" t="str">
        <f t="shared" si="2"/>
        <v/>
      </c>
      <c r="P112" s="7" t="str">
        <f t="shared" si="2"/>
        <v/>
      </c>
      <c r="Q112" s="7" t="str">
        <f t="shared" si="2"/>
        <v/>
      </c>
    </row>
    <row r="113" spans="1:17" x14ac:dyDescent="0.25">
      <c r="A113" s="1" t="s">
        <v>10</v>
      </c>
      <c r="B113" s="7">
        <f t="shared" si="2"/>
        <v>0</v>
      </c>
      <c r="C113" s="7" t="str">
        <f t="shared" si="2"/>
        <v/>
      </c>
      <c r="D113" s="7" t="str">
        <f t="shared" si="2"/>
        <v/>
      </c>
      <c r="E113" s="7" t="str">
        <f t="shared" si="2"/>
        <v/>
      </c>
      <c r="F113" s="7" t="str">
        <f t="shared" si="2"/>
        <v/>
      </c>
      <c r="G113" s="7" t="str">
        <f t="shared" si="2"/>
        <v/>
      </c>
      <c r="H113" s="7" t="str">
        <f t="shared" si="2"/>
        <v/>
      </c>
      <c r="I113" s="7">
        <f t="shared" si="2"/>
        <v>0</v>
      </c>
      <c r="J113" s="7">
        <f t="shared" si="2"/>
        <v>0</v>
      </c>
      <c r="K113" s="7">
        <f t="shared" si="2"/>
        <v>0</v>
      </c>
      <c r="L113" s="7">
        <f t="shared" si="2"/>
        <v>0</v>
      </c>
      <c r="M113" s="7">
        <f t="shared" si="2"/>
        <v>0</v>
      </c>
      <c r="N113" s="7">
        <f t="shared" si="2"/>
        <v>0</v>
      </c>
      <c r="O113" s="7" t="str">
        <f t="shared" si="2"/>
        <v/>
      </c>
      <c r="P113" s="7" t="str">
        <f t="shared" si="2"/>
        <v/>
      </c>
      <c r="Q113" s="7" t="str">
        <f t="shared" ref="Q113" si="3">IFERROR(Q53/Q93,"")</f>
        <v/>
      </c>
    </row>
    <row r="116" spans="1:17" x14ac:dyDescent="0.25">
      <c r="A116" s="3" t="s">
        <v>94</v>
      </c>
    </row>
    <row r="117" spans="1:17" x14ac:dyDescent="0.25">
      <c r="B117" s="1" t="s">
        <v>3</v>
      </c>
      <c r="C117" s="1" t="s">
        <v>18</v>
      </c>
      <c r="D117" s="1" t="s">
        <v>16</v>
      </c>
      <c r="E117" s="1" t="s">
        <v>22</v>
      </c>
      <c r="F117" s="1" t="s">
        <v>4</v>
      </c>
      <c r="G117" s="1" t="s">
        <v>6</v>
      </c>
      <c r="H117" s="1" t="s">
        <v>5</v>
      </c>
      <c r="I117" s="1" t="s">
        <v>8</v>
      </c>
      <c r="J117" s="1" t="s">
        <v>12</v>
      </c>
      <c r="K117" s="2" t="s">
        <v>23</v>
      </c>
      <c r="L117" s="2" t="s">
        <v>11</v>
      </c>
      <c r="M117" s="1" t="s">
        <v>9</v>
      </c>
      <c r="N117" s="1" t="s">
        <v>24</v>
      </c>
      <c r="O117" s="1" t="s">
        <v>26</v>
      </c>
      <c r="P117" s="1" t="s">
        <v>7</v>
      </c>
      <c r="Q117" s="1" t="s">
        <v>10</v>
      </c>
    </row>
    <row r="118" spans="1:17" x14ac:dyDescent="0.25">
      <c r="A118" s="1" t="s">
        <v>3</v>
      </c>
      <c r="B118" s="1" t="str">
        <f>IF(B78=0,"",CONCATENATE(B38,"/",B78))</f>
        <v/>
      </c>
      <c r="C118" s="1" t="str">
        <f t="shared" ref="C118:Q118" si="4">IF(C78=0,"",CONCATENATE(C38,"/",C78))</f>
        <v>3/5</v>
      </c>
      <c r="D118" s="1" t="str">
        <f t="shared" si="4"/>
        <v>7/14</v>
      </c>
      <c r="E118" s="1" t="str">
        <f t="shared" si="4"/>
        <v>6/13</v>
      </c>
      <c r="F118" s="1" t="str">
        <f t="shared" si="4"/>
        <v>11/17</v>
      </c>
      <c r="G118" s="1" t="str">
        <f t="shared" si="4"/>
        <v>10/14</v>
      </c>
      <c r="H118" s="1" t="str">
        <f t="shared" si="4"/>
        <v>9/13</v>
      </c>
      <c r="I118" s="1" t="str">
        <f t="shared" si="4"/>
        <v>4/5</v>
      </c>
      <c r="J118" s="1" t="str">
        <f t="shared" si="4"/>
        <v>14/25</v>
      </c>
      <c r="K118" s="1" t="str">
        <f t="shared" si="4"/>
        <v>3/6</v>
      </c>
      <c r="L118" s="1" t="str">
        <f t="shared" si="4"/>
        <v>7/11</v>
      </c>
      <c r="M118" s="1" t="str">
        <f t="shared" si="4"/>
        <v>1/3</v>
      </c>
      <c r="N118" s="1" t="str">
        <f t="shared" si="4"/>
        <v>1/4</v>
      </c>
      <c r="O118" s="1" t="str">
        <f t="shared" si="4"/>
        <v>0/2</v>
      </c>
      <c r="P118" s="1" t="str">
        <f t="shared" si="4"/>
        <v>13/16</v>
      </c>
      <c r="Q118" s="1" t="str">
        <f t="shared" si="4"/>
        <v>0/1</v>
      </c>
    </row>
    <row r="119" spans="1:17" x14ac:dyDescent="0.25">
      <c r="A119" s="1" t="s">
        <v>18</v>
      </c>
      <c r="B119" s="1" t="str">
        <f t="shared" ref="B119:Q133" si="5">IF(B79=0,"",CONCATENATE(B39,"/",B79))</f>
        <v>3/5</v>
      </c>
      <c r="C119" s="1" t="str">
        <f t="shared" si="5"/>
        <v/>
      </c>
      <c r="D119" s="1" t="str">
        <f t="shared" si="5"/>
        <v>1/1</v>
      </c>
      <c r="E119" s="1" t="str">
        <f t="shared" si="5"/>
        <v>0/4</v>
      </c>
      <c r="F119" s="1" t="str">
        <f t="shared" si="5"/>
        <v>1/2</v>
      </c>
      <c r="G119" s="1" t="str">
        <f t="shared" si="5"/>
        <v>0/1</v>
      </c>
      <c r="H119" s="1" t="str">
        <f t="shared" si="5"/>
        <v>1/4</v>
      </c>
      <c r="I119" s="1" t="str">
        <f t="shared" si="5"/>
        <v>1/2</v>
      </c>
      <c r="J119" s="1" t="str">
        <f t="shared" si="5"/>
        <v>1/4</v>
      </c>
      <c r="K119" s="1" t="str">
        <f t="shared" si="5"/>
        <v>1/5</v>
      </c>
      <c r="L119" s="1" t="str">
        <f t="shared" si="5"/>
        <v>2/4</v>
      </c>
      <c r="M119" s="1" t="str">
        <f t="shared" si="5"/>
        <v>0/2</v>
      </c>
      <c r="N119" s="1" t="str">
        <f t="shared" si="5"/>
        <v/>
      </c>
      <c r="O119" s="1" t="str">
        <f t="shared" si="5"/>
        <v/>
      </c>
      <c r="P119" s="1" t="str">
        <f t="shared" si="5"/>
        <v>1/2</v>
      </c>
      <c r="Q119" s="1" t="str">
        <f t="shared" si="5"/>
        <v/>
      </c>
    </row>
    <row r="120" spans="1:17" x14ac:dyDescent="0.25">
      <c r="A120" s="1" t="s">
        <v>16</v>
      </c>
      <c r="B120" s="1" t="str">
        <f t="shared" si="5"/>
        <v>7/14</v>
      </c>
      <c r="C120" s="1" t="str">
        <f t="shared" si="5"/>
        <v>1/1</v>
      </c>
      <c r="D120" s="1" t="str">
        <f t="shared" si="5"/>
        <v/>
      </c>
      <c r="E120" s="1" t="str">
        <f t="shared" si="5"/>
        <v>3/11</v>
      </c>
      <c r="F120" s="1" t="str">
        <f t="shared" si="5"/>
        <v>10/18</v>
      </c>
      <c r="G120" s="1" t="str">
        <f t="shared" si="5"/>
        <v>3/8</v>
      </c>
      <c r="H120" s="1" t="str">
        <f t="shared" si="5"/>
        <v>7/16</v>
      </c>
      <c r="I120" s="1" t="str">
        <f t="shared" si="5"/>
        <v>4/9</v>
      </c>
      <c r="J120" s="1" t="str">
        <f t="shared" si="5"/>
        <v>4/9</v>
      </c>
      <c r="K120" s="1" t="str">
        <f t="shared" si="5"/>
        <v>2/6</v>
      </c>
      <c r="L120" s="1" t="str">
        <f t="shared" si="5"/>
        <v>4/9</v>
      </c>
      <c r="M120" s="1" t="str">
        <f t="shared" si="5"/>
        <v>1/4</v>
      </c>
      <c r="N120" s="1" t="str">
        <f t="shared" si="5"/>
        <v>1/7</v>
      </c>
      <c r="O120" s="1" t="str">
        <f t="shared" si="5"/>
        <v>1/3</v>
      </c>
      <c r="P120" s="1" t="str">
        <f t="shared" si="5"/>
        <v>8/12</v>
      </c>
      <c r="Q120" s="1" t="str">
        <f t="shared" si="5"/>
        <v/>
      </c>
    </row>
    <row r="121" spans="1:17" x14ac:dyDescent="0.25">
      <c r="A121" s="1" t="s">
        <v>22</v>
      </c>
      <c r="B121" s="1" t="str">
        <f t="shared" si="5"/>
        <v>6/13</v>
      </c>
      <c r="C121" s="1" t="str">
        <f t="shared" si="5"/>
        <v>0/4</v>
      </c>
      <c r="D121" s="1" t="str">
        <f t="shared" si="5"/>
        <v>3/11</v>
      </c>
      <c r="E121" s="1" t="str">
        <f t="shared" si="5"/>
        <v/>
      </c>
      <c r="F121" s="1" t="str">
        <f t="shared" si="5"/>
        <v>11/18</v>
      </c>
      <c r="G121" s="1" t="str">
        <f t="shared" si="5"/>
        <v>9/17</v>
      </c>
      <c r="H121" s="1" t="str">
        <f t="shared" si="5"/>
        <v>9/16</v>
      </c>
      <c r="I121" s="1" t="str">
        <f t="shared" si="5"/>
        <v>2/4</v>
      </c>
      <c r="J121" s="1" t="str">
        <f t="shared" si="5"/>
        <v>7/15</v>
      </c>
      <c r="K121" s="1" t="str">
        <f t="shared" si="5"/>
        <v>1/7</v>
      </c>
      <c r="L121" s="1" t="str">
        <f t="shared" si="5"/>
        <v>2/5</v>
      </c>
      <c r="M121" s="1" t="str">
        <f t="shared" si="5"/>
        <v>4/8</v>
      </c>
      <c r="N121" s="1" t="str">
        <f t="shared" si="5"/>
        <v>3/7</v>
      </c>
      <c r="O121" s="1" t="str">
        <f t="shared" si="5"/>
        <v/>
      </c>
      <c r="P121" s="1" t="str">
        <f t="shared" si="5"/>
        <v>5/9</v>
      </c>
      <c r="Q121" s="1" t="str">
        <f t="shared" si="5"/>
        <v/>
      </c>
    </row>
    <row r="122" spans="1:17" x14ac:dyDescent="0.25">
      <c r="A122" s="1" t="s">
        <v>4</v>
      </c>
      <c r="B122" s="1" t="str">
        <f t="shared" si="5"/>
        <v>11/17</v>
      </c>
      <c r="C122" s="1" t="str">
        <f t="shared" si="5"/>
        <v>1/2</v>
      </c>
      <c r="D122" s="1" t="str">
        <f t="shared" si="5"/>
        <v>10/18</v>
      </c>
      <c r="E122" s="1" t="str">
        <f t="shared" si="5"/>
        <v>11/18</v>
      </c>
      <c r="F122" s="1" t="str">
        <f t="shared" si="5"/>
        <v/>
      </c>
      <c r="G122" s="1" t="str">
        <f t="shared" si="5"/>
        <v>11/17</v>
      </c>
      <c r="H122" s="1" t="str">
        <f t="shared" si="5"/>
        <v>15/24</v>
      </c>
      <c r="I122" s="1" t="str">
        <f t="shared" si="5"/>
        <v>7/10</v>
      </c>
      <c r="J122" s="1" t="str">
        <f t="shared" si="5"/>
        <v>8/11</v>
      </c>
      <c r="K122" s="1" t="str">
        <f t="shared" si="5"/>
        <v>5/11</v>
      </c>
      <c r="L122" s="1" t="str">
        <f t="shared" si="5"/>
        <v>1/4</v>
      </c>
      <c r="M122" s="1" t="str">
        <f t="shared" si="5"/>
        <v>5/13</v>
      </c>
      <c r="N122" s="1" t="str">
        <f t="shared" si="5"/>
        <v>4/7</v>
      </c>
      <c r="O122" s="1" t="str">
        <f t="shared" si="5"/>
        <v>2/2</v>
      </c>
      <c r="P122" s="1" t="str">
        <f t="shared" si="5"/>
        <v>11/12</v>
      </c>
      <c r="Q122" s="1" t="str">
        <f t="shared" si="5"/>
        <v/>
      </c>
    </row>
    <row r="123" spans="1:17" x14ac:dyDescent="0.25">
      <c r="A123" s="1" t="s">
        <v>6</v>
      </c>
      <c r="B123" s="1" t="str">
        <f t="shared" si="5"/>
        <v>10/14</v>
      </c>
      <c r="C123" s="1" t="str">
        <f t="shared" si="5"/>
        <v>0/1</v>
      </c>
      <c r="D123" s="1" t="str">
        <f t="shared" si="5"/>
        <v>3/8</v>
      </c>
      <c r="E123" s="1" t="str">
        <f t="shared" si="5"/>
        <v>9/17</v>
      </c>
      <c r="F123" s="1" t="str">
        <f t="shared" si="5"/>
        <v>11/17</v>
      </c>
      <c r="G123" s="1" t="str">
        <f t="shared" si="5"/>
        <v/>
      </c>
      <c r="H123" s="1" t="str">
        <f t="shared" si="5"/>
        <v>14/23</v>
      </c>
      <c r="I123" s="1" t="str">
        <f t="shared" si="5"/>
        <v>2/6</v>
      </c>
      <c r="J123" s="1" t="str">
        <f t="shared" si="5"/>
        <v>8/14</v>
      </c>
      <c r="K123" s="1" t="str">
        <f t="shared" si="5"/>
        <v>4/10</v>
      </c>
      <c r="L123" s="1" t="str">
        <f t="shared" si="5"/>
        <v>3/5</v>
      </c>
      <c r="M123" s="1" t="str">
        <f t="shared" si="5"/>
        <v>5/11</v>
      </c>
      <c r="N123" s="1" t="str">
        <f t="shared" si="5"/>
        <v>2/5</v>
      </c>
      <c r="O123" s="1" t="str">
        <f t="shared" si="5"/>
        <v>0/1</v>
      </c>
      <c r="P123" s="1" t="str">
        <f t="shared" si="5"/>
        <v>9/10</v>
      </c>
      <c r="Q123" s="1" t="str">
        <f t="shared" si="5"/>
        <v/>
      </c>
    </row>
    <row r="124" spans="1:17" x14ac:dyDescent="0.25">
      <c r="A124" s="1" t="s">
        <v>5</v>
      </c>
      <c r="B124" s="1" t="str">
        <f t="shared" si="5"/>
        <v>9/13</v>
      </c>
      <c r="C124" s="1" t="str">
        <f t="shared" si="5"/>
        <v>1/4</v>
      </c>
      <c r="D124" s="1" t="str">
        <f t="shared" si="5"/>
        <v>7/16</v>
      </c>
      <c r="E124" s="1" t="str">
        <f t="shared" si="5"/>
        <v>9/16</v>
      </c>
      <c r="F124" s="1" t="str">
        <f t="shared" si="5"/>
        <v>15/24</v>
      </c>
      <c r="G124" s="1" t="str">
        <f t="shared" si="5"/>
        <v>14/23</v>
      </c>
      <c r="H124" s="1" t="str">
        <f t="shared" si="5"/>
        <v/>
      </c>
      <c r="I124" s="1" t="str">
        <f t="shared" si="5"/>
        <v>5/12</v>
      </c>
      <c r="J124" s="1" t="str">
        <f t="shared" si="5"/>
        <v>8/15</v>
      </c>
      <c r="K124" s="1" t="str">
        <f t="shared" si="5"/>
        <v>6/14</v>
      </c>
      <c r="L124" s="1" t="str">
        <f t="shared" si="5"/>
        <v>3/6</v>
      </c>
      <c r="M124" s="1" t="str">
        <f t="shared" si="5"/>
        <v>4/9</v>
      </c>
      <c r="N124" s="1" t="str">
        <f t="shared" si="5"/>
        <v>1/4</v>
      </c>
      <c r="O124" s="1" t="str">
        <f t="shared" si="5"/>
        <v/>
      </c>
      <c r="P124" s="1" t="str">
        <f t="shared" si="5"/>
        <v>10/11</v>
      </c>
      <c r="Q124" s="1" t="str">
        <f t="shared" si="5"/>
        <v/>
      </c>
    </row>
    <row r="125" spans="1:17" x14ac:dyDescent="0.25">
      <c r="A125" s="1" t="s">
        <v>8</v>
      </c>
      <c r="B125" s="1" t="str">
        <f t="shared" si="5"/>
        <v>4/5</v>
      </c>
      <c r="C125" s="1" t="str">
        <f t="shared" si="5"/>
        <v>1/2</v>
      </c>
      <c r="D125" s="1" t="str">
        <f t="shared" si="5"/>
        <v>4/9</v>
      </c>
      <c r="E125" s="1" t="str">
        <f t="shared" si="5"/>
        <v>2/4</v>
      </c>
      <c r="F125" s="1" t="str">
        <f t="shared" si="5"/>
        <v>7/10</v>
      </c>
      <c r="G125" s="1" t="str">
        <f t="shared" si="5"/>
        <v>2/6</v>
      </c>
      <c r="H125" s="1" t="str">
        <f t="shared" si="5"/>
        <v>5/12</v>
      </c>
      <c r="I125" s="1" t="str">
        <f t="shared" si="5"/>
        <v/>
      </c>
      <c r="J125" s="1" t="str">
        <f t="shared" si="5"/>
        <v>5/15</v>
      </c>
      <c r="K125" s="1" t="str">
        <f t="shared" si="5"/>
        <v>4/9</v>
      </c>
      <c r="L125" s="1" t="str">
        <f t="shared" si="5"/>
        <v>1/3</v>
      </c>
      <c r="M125" s="1" t="str">
        <f t="shared" si="5"/>
        <v>0/6</v>
      </c>
      <c r="N125" s="1" t="str">
        <f t="shared" si="5"/>
        <v>5/13</v>
      </c>
      <c r="O125" s="1" t="str">
        <f t="shared" si="5"/>
        <v>3/5</v>
      </c>
      <c r="P125" s="1" t="str">
        <f t="shared" si="5"/>
        <v>5/5</v>
      </c>
      <c r="Q125" s="1" t="str">
        <f t="shared" si="5"/>
        <v>0/4</v>
      </c>
    </row>
    <row r="126" spans="1:17" x14ac:dyDescent="0.25">
      <c r="A126" s="1" t="s">
        <v>12</v>
      </c>
      <c r="B126" s="1" t="str">
        <f t="shared" si="5"/>
        <v>14/25</v>
      </c>
      <c r="C126" s="1" t="str">
        <f t="shared" si="5"/>
        <v>1/4</v>
      </c>
      <c r="D126" s="1" t="str">
        <f t="shared" si="5"/>
        <v>4/9</v>
      </c>
      <c r="E126" s="1" t="str">
        <f t="shared" si="5"/>
        <v>7/15</v>
      </c>
      <c r="F126" s="1" t="str">
        <f t="shared" si="5"/>
        <v>8/11</v>
      </c>
      <c r="G126" s="1" t="str">
        <f t="shared" si="5"/>
        <v>8/14</v>
      </c>
      <c r="H126" s="1" t="str">
        <f t="shared" si="5"/>
        <v>8/15</v>
      </c>
      <c r="I126" s="1" t="str">
        <f t="shared" si="5"/>
        <v>5/15</v>
      </c>
      <c r="J126" s="1" t="str">
        <f t="shared" si="5"/>
        <v/>
      </c>
      <c r="K126" s="1" t="str">
        <f t="shared" si="5"/>
        <v>3/9</v>
      </c>
      <c r="L126" s="1" t="str">
        <f t="shared" si="5"/>
        <v>6/11</v>
      </c>
      <c r="M126" s="1" t="str">
        <f t="shared" si="5"/>
        <v>5/10</v>
      </c>
      <c r="N126" s="1" t="str">
        <f t="shared" si="5"/>
        <v>1/7</v>
      </c>
      <c r="O126" s="1" t="str">
        <f t="shared" si="5"/>
        <v>0/2</v>
      </c>
      <c r="P126" s="1" t="str">
        <f t="shared" si="5"/>
        <v>11/15</v>
      </c>
      <c r="Q126" s="1" t="str">
        <f t="shared" si="5"/>
        <v>0/4</v>
      </c>
    </row>
    <row r="127" spans="1:17" x14ac:dyDescent="0.25">
      <c r="A127" s="2" t="s">
        <v>23</v>
      </c>
      <c r="B127" s="1" t="str">
        <f t="shared" si="5"/>
        <v>3/6</v>
      </c>
      <c r="C127" s="1" t="str">
        <f t="shared" si="5"/>
        <v>1/5</v>
      </c>
      <c r="D127" s="1" t="str">
        <f t="shared" si="5"/>
        <v>2/6</v>
      </c>
      <c r="E127" s="1" t="str">
        <f t="shared" si="5"/>
        <v>1/7</v>
      </c>
      <c r="F127" s="1" t="str">
        <f t="shared" si="5"/>
        <v>5/11</v>
      </c>
      <c r="G127" s="1" t="str">
        <f t="shared" si="5"/>
        <v>4/10</v>
      </c>
      <c r="H127" s="1" t="str">
        <f t="shared" si="5"/>
        <v>6/14</v>
      </c>
      <c r="I127" s="1" t="str">
        <f t="shared" si="5"/>
        <v>4/9</v>
      </c>
      <c r="J127" s="1" t="str">
        <f t="shared" si="5"/>
        <v>3/9</v>
      </c>
      <c r="K127" s="1" t="str">
        <f t="shared" si="5"/>
        <v/>
      </c>
      <c r="L127" s="1" t="str">
        <f t="shared" si="5"/>
        <v>3/5</v>
      </c>
      <c r="M127" s="1" t="str">
        <f t="shared" si="5"/>
        <v>1/7</v>
      </c>
      <c r="N127" s="1" t="str">
        <f t="shared" si="5"/>
        <v>2/3</v>
      </c>
      <c r="O127" s="1" t="str">
        <f t="shared" si="5"/>
        <v>2/2</v>
      </c>
      <c r="P127" s="1" t="str">
        <f t="shared" si="5"/>
        <v>2/3</v>
      </c>
      <c r="Q127" s="1" t="str">
        <f t="shared" si="5"/>
        <v>0/2</v>
      </c>
    </row>
    <row r="128" spans="1:17" x14ac:dyDescent="0.25">
      <c r="A128" s="2" t="s">
        <v>11</v>
      </c>
      <c r="B128" s="1" t="str">
        <f t="shared" si="5"/>
        <v>7/11</v>
      </c>
      <c r="C128" s="1" t="str">
        <f t="shared" si="5"/>
        <v>2/4</v>
      </c>
      <c r="D128" s="1" t="str">
        <f t="shared" si="5"/>
        <v>4/9</v>
      </c>
      <c r="E128" s="1" t="str">
        <f t="shared" si="5"/>
        <v>2/5</v>
      </c>
      <c r="F128" s="1" t="str">
        <f t="shared" si="5"/>
        <v>1/4</v>
      </c>
      <c r="G128" s="1" t="str">
        <f t="shared" si="5"/>
        <v>3/5</v>
      </c>
      <c r="H128" s="1" t="str">
        <f t="shared" si="5"/>
        <v>3/6</v>
      </c>
      <c r="I128" s="1" t="str">
        <f t="shared" si="5"/>
        <v>1/3</v>
      </c>
      <c r="J128" s="1" t="str">
        <f t="shared" si="5"/>
        <v>6/11</v>
      </c>
      <c r="K128" s="1" t="str">
        <f t="shared" si="5"/>
        <v>3/5</v>
      </c>
      <c r="L128" s="1" t="str">
        <f t="shared" si="5"/>
        <v/>
      </c>
      <c r="M128" s="1" t="str">
        <f t="shared" si="5"/>
        <v>1/4</v>
      </c>
      <c r="N128" s="1" t="str">
        <f t="shared" si="5"/>
        <v>1/2</v>
      </c>
      <c r="O128" s="1" t="str">
        <f t="shared" si="5"/>
        <v/>
      </c>
      <c r="P128" s="1" t="str">
        <f t="shared" si="5"/>
        <v>5/6</v>
      </c>
      <c r="Q128" s="1" t="str">
        <f t="shared" si="5"/>
        <v>0/2</v>
      </c>
    </row>
    <row r="129" spans="1:17" x14ac:dyDescent="0.25">
      <c r="A129" s="1" t="s">
        <v>9</v>
      </c>
      <c r="B129" s="1" t="str">
        <f t="shared" si="5"/>
        <v>1/3</v>
      </c>
      <c r="C129" s="1" t="str">
        <f t="shared" si="5"/>
        <v>0/2</v>
      </c>
      <c r="D129" s="1" t="str">
        <f t="shared" si="5"/>
        <v>1/4</v>
      </c>
      <c r="E129" s="1" t="str">
        <f t="shared" si="5"/>
        <v>4/8</v>
      </c>
      <c r="F129" s="1" t="str">
        <f t="shared" si="5"/>
        <v>5/13</v>
      </c>
      <c r="G129" s="1" t="str">
        <f t="shared" si="5"/>
        <v>5/11</v>
      </c>
      <c r="H129" s="1" t="str">
        <f t="shared" si="5"/>
        <v>4/9</v>
      </c>
      <c r="I129" s="1" t="str">
        <f t="shared" si="5"/>
        <v>0/6</v>
      </c>
      <c r="J129" s="1" t="str">
        <f t="shared" si="5"/>
        <v>5/10</v>
      </c>
      <c r="K129" s="1" t="str">
        <f t="shared" si="5"/>
        <v>1/7</v>
      </c>
      <c r="L129" s="1" t="str">
        <f t="shared" si="5"/>
        <v>1/4</v>
      </c>
      <c r="M129" s="1" t="str">
        <f t="shared" si="5"/>
        <v/>
      </c>
      <c r="N129" s="1" t="str">
        <f t="shared" si="5"/>
        <v>0/2</v>
      </c>
      <c r="O129" s="1" t="str">
        <f t="shared" si="5"/>
        <v/>
      </c>
      <c r="P129" s="1" t="str">
        <f t="shared" si="5"/>
        <v>4/5</v>
      </c>
      <c r="Q129" s="1" t="str">
        <f t="shared" si="5"/>
        <v>0/2</v>
      </c>
    </row>
    <row r="130" spans="1:17" x14ac:dyDescent="0.25">
      <c r="A130" s="1" t="s">
        <v>24</v>
      </c>
      <c r="B130" s="1" t="str">
        <f t="shared" si="5"/>
        <v>1/4</v>
      </c>
      <c r="C130" s="1" t="str">
        <f t="shared" si="5"/>
        <v/>
      </c>
      <c r="D130" s="1" t="str">
        <f t="shared" si="5"/>
        <v>1/7</v>
      </c>
      <c r="E130" s="1" t="str">
        <f t="shared" si="5"/>
        <v>3/7</v>
      </c>
      <c r="F130" s="1" t="str">
        <f t="shared" si="5"/>
        <v>4/7</v>
      </c>
      <c r="G130" s="1" t="str">
        <f t="shared" si="5"/>
        <v>2/5</v>
      </c>
      <c r="H130" s="1" t="str">
        <f t="shared" si="5"/>
        <v>1/4</v>
      </c>
      <c r="I130" s="1" t="str">
        <f t="shared" si="5"/>
        <v>5/13</v>
      </c>
      <c r="J130" s="1" t="str">
        <f t="shared" si="5"/>
        <v>1/7</v>
      </c>
      <c r="K130" s="1" t="str">
        <f t="shared" si="5"/>
        <v>2/3</v>
      </c>
      <c r="L130" s="1" t="str">
        <f t="shared" si="5"/>
        <v>1/2</v>
      </c>
      <c r="M130" s="1" t="str">
        <f t="shared" si="5"/>
        <v>0/2</v>
      </c>
      <c r="N130" s="1" t="str">
        <f t="shared" si="5"/>
        <v/>
      </c>
      <c r="O130" s="1" t="str">
        <f t="shared" si="5"/>
        <v>3/7</v>
      </c>
      <c r="P130" s="1" t="str">
        <f t="shared" si="5"/>
        <v>1/1</v>
      </c>
      <c r="Q130" s="1" t="str">
        <f t="shared" si="5"/>
        <v>0/1</v>
      </c>
    </row>
    <row r="131" spans="1:17" x14ac:dyDescent="0.25">
      <c r="A131" s="1" t="s">
        <v>26</v>
      </c>
      <c r="B131" s="1" t="str">
        <f t="shared" si="5"/>
        <v>0/2</v>
      </c>
      <c r="C131" s="1" t="str">
        <f t="shared" si="5"/>
        <v/>
      </c>
      <c r="D131" s="1" t="str">
        <f t="shared" si="5"/>
        <v>1/3</v>
      </c>
      <c r="E131" s="1" t="str">
        <f t="shared" si="5"/>
        <v/>
      </c>
      <c r="F131" s="1" t="str">
        <f t="shared" si="5"/>
        <v>2/2</v>
      </c>
      <c r="G131" s="1" t="str">
        <f t="shared" si="5"/>
        <v>0/1</v>
      </c>
      <c r="H131" s="1" t="str">
        <f t="shared" si="5"/>
        <v/>
      </c>
      <c r="I131" s="1" t="str">
        <f t="shared" si="5"/>
        <v>3/5</v>
      </c>
      <c r="J131" s="1" t="str">
        <f t="shared" si="5"/>
        <v>0/2</v>
      </c>
      <c r="K131" s="1" t="str">
        <f t="shared" si="5"/>
        <v>2/2</v>
      </c>
      <c r="L131" s="1" t="str">
        <f t="shared" si="5"/>
        <v/>
      </c>
      <c r="M131" s="1" t="str">
        <f t="shared" si="5"/>
        <v/>
      </c>
      <c r="N131" s="1" t="str">
        <f t="shared" si="5"/>
        <v>3/7</v>
      </c>
      <c r="O131" s="1" t="str">
        <f t="shared" si="5"/>
        <v/>
      </c>
      <c r="P131" s="1" t="str">
        <f t="shared" si="5"/>
        <v/>
      </c>
      <c r="Q131" s="1" t="str">
        <f t="shared" si="5"/>
        <v/>
      </c>
    </row>
    <row r="132" spans="1:17" x14ac:dyDescent="0.25">
      <c r="A132" s="1" t="s">
        <v>7</v>
      </c>
      <c r="B132" s="1" t="str">
        <f t="shared" si="5"/>
        <v>13/16</v>
      </c>
      <c r="C132" s="1" t="str">
        <f t="shared" si="5"/>
        <v>1/2</v>
      </c>
      <c r="D132" s="1" t="str">
        <f t="shared" si="5"/>
        <v>8/12</v>
      </c>
      <c r="E132" s="1" t="str">
        <f t="shared" si="5"/>
        <v>5/9</v>
      </c>
      <c r="F132" s="1" t="str">
        <f t="shared" si="5"/>
        <v>11/12</v>
      </c>
      <c r="G132" s="1" t="str">
        <f t="shared" si="5"/>
        <v>9/10</v>
      </c>
      <c r="H132" s="1" t="str">
        <f t="shared" si="5"/>
        <v>10/11</v>
      </c>
      <c r="I132" s="1" t="str">
        <f t="shared" si="5"/>
        <v>5/5</v>
      </c>
      <c r="J132" s="1" t="str">
        <f t="shared" si="5"/>
        <v>11/15</v>
      </c>
      <c r="K132" s="1" t="str">
        <f t="shared" si="5"/>
        <v>2/3</v>
      </c>
      <c r="L132" s="1" t="str">
        <f t="shared" si="5"/>
        <v>5/6</v>
      </c>
      <c r="M132" s="1" t="str">
        <f t="shared" si="5"/>
        <v>4/5</v>
      </c>
      <c r="N132" s="1" t="str">
        <f t="shared" si="5"/>
        <v>1/1</v>
      </c>
      <c r="O132" s="1" t="str">
        <f t="shared" si="5"/>
        <v/>
      </c>
      <c r="P132" s="1" t="str">
        <f t="shared" si="5"/>
        <v/>
      </c>
      <c r="Q132" s="1" t="str">
        <f t="shared" si="5"/>
        <v/>
      </c>
    </row>
    <row r="133" spans="1:17" x14ac:dyDescent="0.25">
      <c r="A133" s="1" t="s">
        <v>10</v>
      </c>
      <c r="B133" s="1" t="str">
        <f t="shared" si="5"/>
        <v>0/1</v>
      </c>
      <c r="C133" s="1" t="str">
        <f t="shared" si="5"/>
        <v/>
      </c>
      <c r="D133" s="1" t="str">
        <f t="shared" si="5"/>
        <v/>
      </c>
      <c r="E133" s="1" t="str">
        <f t="shared" si="5"/>
        <v/>
      </c>
      <c r="F133" s="1" t="str">
        <f t="shared" si="5"/>
        <v/>
      </c>
      <c r="G133" s="1" t="str">
        <f t="shared" si="5"/>
        <v/>
      </c>
      <c r="H133" s="1" t="str">
        <f t="shared" si="5"/>
        <v/>
      </c>
      <c r="I133" s="1" t="str">
        <f t="shared" si="5"/>
        <v>0/4</v>
      </c>
      <c r="J133" s="1" t="str">
        <f t="shared" si="5"/>
        <v>0/4</v>
      </c>
      <c r="K133" s="1" t="str">
        <f t="shared" si="5"/>
        <v>0/2</v>
      </c>
      <c r="L133" s="1" t="str">
        <f t="shared" si="5"/>
        <v>0/2</v>
      </c>
      <c r="M133" s="1" t="str">
        <f t="shared" si="5"/>
        <v>0/2</v>
      </c>
      <c r="N133" s="1" t="str">
        <f t="shared" si="5"/>
        <v>0/1</v>
      </c>
      <c r="O133" s="1" t="str">
        <f t="shared" si="5"/>
        <v/>
      </c>
      <c r="P133" s="1" t="str">
        <f t="shared" si="5"/>
        <v/>
      </c>
      <c r="Q133" s="1" t="str">
        <f t="shared" si="5"/>
        <v/>
      </c>
    </row>
    <row r="136" spans="1:17" x14ac:dyDescent="0.25">
      <c r="A136" s="3" t="s">
        <v>97</v>
      </c>
    </row>
    <row r="137" spans="1:17" x14ac:dyDescent="0.25">
      <c r="A137" t="s">
        <v>1</v>
      </c>
      <c r="B137" t="s">
        <v>14</v>
      </c>
      <c r="C137" t="s">
        <v>17</v>
      </c>
      <c r="D137" t="s">
        <v>21</v>
      </c>
      <c r="E137" t="s">
        <v>25</v>
      </c>
      <c r="F137" t="s">
        <v>13</v>
      </c>
      <c r="G137" t="s">
        <v>19</v>
      </c>
      <c r="H137" t="s">
        <v>20</v>
      </c>
      <c r="I137" t="s">
        <v>2</v>
      </c>
    </row>
    <row r="138" spans="1:17" s="9" customFormat="1" x14ac:dyDescent="0.25">
      <c r="A138" s="13" t="s">
        <v>95</v>
      </c>
      <c r="B138" s="13">
        <v>8</v>
      </c>
      <c r="C138" s="9">
        <v>8</v>
      </c>
      <c r="D138" s="9">
        <v>3</v>
      </c>
      <c r="E138" s="9">
        <v>4</v>
      </c>
      <c r="F138" s="9">
        <v>4</v>
      </c>
      <c r="G138" s="9">
        <v>5</v>
      </c>
      <c r="H138" s="9">
        <v>5</v>
      </c>
      <c r="I138" s="9">
        <v>8</v>
      </c>
    </row>
    <row r="139" spans="1:17" s="7" customFormat="1" x14ac:dyDescent="0.25">
      <c r="A139" s="9" t="s">
        <v>98</v>
      </c>
      <c r="B139" s="6">
        <v>0.17777777777777778</v>
      </c>
      <c r="C139" s="7">
        <v>0.17777777777777778</v>
      </c>
      <c r="D139" s="7">
        <v>6.6666666666666666E-2</v>
      </c>
      <c r="E139" s="7">
        <v>8.8888888888888892E-2</v>
      </c>
      <c r="F139" s="7">
        <v>8.8888888888888892E-2</v>
      </c>
      <c r="G139" s="7">
        <v>0.1111111111111111</v>
      </c>
      <c r="H139" s="7">
        <v>0.1111111111111111</v>
      </c>
      <c r="I139" s="7">
        <v>0.17777777777777778</v>
      </c>
    </row>
    <row r="140" spans="1:17" x14ac:dyDescent="0.25">
      <c r="A140"/>
      <c r="B140"/>
      <c r="C140" s="7"/>
    </row>
    <row r="141" spans="1:17" x14ac:dyDescent="0.25">
      <c r="A141"/>
      <c r="B141"/>
      <c r="C141" s="7"/>
    </row>
    <row r="142" spans="1:17" x14ac:dyDescent="0.25">
      <c r="A142"/>
      <c r="B142"/>
      <c r="C142" s="7"/>
    </row>
    <row r="143" spans="1:17" x14ac:dyDescent="0.25">
      <c r="A143"/>
      <c r="B143"/>
      <c r="C143" s="7"/>
    </row>
    <row r="144" spans="1:17" x14ac:dyDescent="0.25">
      <c r="A144"/>
      <c r="B144"/>
      <c r="C144" s="7"/>
    </row>
    <row r="145" spans="1:17" x14ac:dyDescent="0.25">
      <c r="A145"/>
      <c r="B145"/>
      <c r="C145" s="7"/>
    </row>
    <row r="146" spans="1:17" x14ac:dyDescent="0.25">
      <c r="A146"/>
      <c r="B146"/>
      <c r="C146" s="7"/>
    </row>
    <row r="148" spans="1:17" x14ac:dyDescent="0.25">
      <c r="A148" s="4" t="s">
        <v>152</v>
      </c>
    </row>
    <row r="149" spans="1:17" x14ac:dyDescent="0.25">
      <c r="A149" s="4"/>
      <c r="B149" s="27" t="s">
        <v>99</v>
      </c>
      <c r="C149" s="27"/>
      <c r="D149" s="27"/>
      <c r="E149" s="27"/>
      <c r="F149" s="27"/>
      <c r="G149" s="27"/>
      <c r="H149" s="27"/>
      <c r="I149" s="27"/>
      <c r="J149" s="27"/>
      <c r="K149" s="27"/>
      <c r="L149" s="27"/>
      <c r="M149" s="27"/>
      <c r="N149" s="27"/>
      <c r="O149" s="27"/>
      <c r="P149" s="27"/>
      <c r="Q149" s="27"/>
    </row>
    <row r="150" spans="1:17" x14ac:dyDescent="0.25">
      <c r="B150" s="1" t="s">
        <v>3</v>
      </c>
      <c r="C150" s="1" t="s">
        <v>18</v>
      </c>
      <c r="D150" s="1" t="s">
        <v>16</v>
      </c>
      <c r="E150" s="1" t="s">
        <v>22</v>
      </c>
      <c r="F150" s="1" t="s">
        <v>4</v>
      </c>
      <c r="G150" s="1" t="s">
        <v>6</v>
      </c>
      <c r="H150" s="1" t="s">
        <v>5</v>
      </c>
      <c r="I150" s="1" t="s">
        <v>8</v>
      </c>
      <c r="J150" s="1" t="s">
        <v>12</v>
      </c>
      <c r="K150" s="2" t="s">
        <v>23</v>
      </c>
      <c r="L150" s="2" t="s">
        <v>11</v>
      </c>
      <c r="M150" s="1" t="s">
        <v>9</v>
      </c>
      <c r="N150" s="1" t="s">
        <v>24</v>
      </c>
      <c r="O150" s="1" t="s">
        <v>26</v>
      </c>
      <c r="P150" s="1" t="s">
        <v>7</v>
      </c>
      <c r="Q150" s="1" t="s">
        <v>10</v>
      </c>
    </row>
    <row r="151" spans="1:17" x14ac:dyDescent="0.25">
      <c r="A151" s="1" t="s">
        <v>3</v>
      </c>
      <c r="B151" s="1">
        <v>0</v>
      </c>
      <c r="C151" s="1">
        <v>0</v>
      </c>
      <c r="D151" s="1">
        <v>6</v>
      </c>
      <c r="E151" s="1">
        <v>6</v>
      </c>
      <c r="F151" s="1">
        <v>10</v>
      </c>
      <c r="G151" s="1">
        <v>8</v>
      </c>
      <c r="H151" s="1">
        <v>10</v>
      </c>
      <c r="I151" s="1">
        <v>8</v>
      </c>
      <c r="J151" s="1">
        <v>4</v>
      </c>
      <c r="K151" s="1">
        <v>5</v>
      </c>
      <c r="L151" s="1">
        <v>2</v>
      </c>
      <c r="M151" s="1">
        <v>5</v>
      </c>
      <c r="N151" s="1">
        <v>6</v>
      </c>
      <c r="O151" s="1">
        <v>3</v>
      </c>
      <c r="P151" s="1">
        <v>4</v>
      </c>
      <c r="Q151" s="1">
        <v>0</v>
      </c>
    </row>
    <row r="152" spans="1:17" x14ac:dyDescent="0.25">
      <c r="A152" s="1" t="s">
        <v>18</v>
      </c>
      <c r="B152" s="1">
        <v>4</v>
      </c>
      <c r="C152" s="1">
        <v>0</v>
      </c>
      <c r="D152" s="1">
        <v>5</v>
      </c>
      <c r="E152" s="1">
        <v>0</v>
      </c>
      <c r="F152" s="1">
        <v>5</v>
      </c>
      <c r="G152" s="1">
        <v>2</v>
      </c>
      <c r="H152" s="1">
        <v>3</v>
      </c>
      <c r="I152" s="1">
        <v>2</v>
      </c>
      <c r="J152" s="1">
        <v>3</v>
      </c>
      <c r="K152" s="1">
        <v>2</v>
      </c>
      <c r="L152" s="1">
        <v>1</v>
      </c>
      <c r="M152" s="1">
        <v>0</v>
      </c>
      <c r="N152" s="1">
        <v>0</v>
      </c>
      <c r="O152" s="1">
        <v>0</v>
      </c>
      <c r="P152" s="1">
        <v>2</v>
      </c>
      <c r="Q152" s="1">
        <v>0</v>
      </c>
    </row>
    <row r="153" spans="1:17" x14ac:dyDescent="0.25">
      <c r="A153" s="1" t="s">
        <v>16</v>
      </c>
      <c r="B153" s="1">
        <v>8</v>
      </c>
      <c r="C153" s="1">
        <v>2</v>
      </c>
      <c r="D153" s="1">
        <v>0</v>
      </c>
      <c r="E153" s="1">
        <v>9</v>
      </c>
      <c r="F153" s="1">
        <v>10</v>
      </c>
      <c r="G153" s="1">
        <v>10</v>
      </c>
      <c r="H153" s="1">
        <v>9</v>
      </c>
      <c r="I153" s="1">
        <v>5</v>
      </c>
      <c r="J153" s="1">
        <v>14</v>
      </c>
      <c r="K153" s="1">
        <v>6</v>
      </c>
      <c r="L153" s="1">
        <v>3</v>
      </c>
      <c r="M153" s="1">
        <v>6</v>
      </c>
      <c r="N153" s="1">
        <v>3</v>
      </c>
      <c r="O153" s="1">
        <v>2</v>
      </c>
      <c r="P153" s="1">
        <v>6</v>
      </c>
      <c r="Q153" s="1">
        <v>0</v>
      </c>
    </row>
    <row r="154" spans="1:17" x14ac:dyDescent="0.25">
      <c r="A154" s="1" t="s">
        <v>22</v>
      </c>
      <c r="B154" s="1">
        <v>9</v>
      </c>
      <c r="C154" s="1">
        <v>2</v>
      </c>
      <c r="D154" s="1">
        <v>6</v>
      </c>
      <c r="E154" s="1">
        <v>0</v>
      </c>
      <c r="F154" s="1">
        <v>11</v>
      </c>
      <c r="G154" s="1">
        <v>7</v>
      </c>
      <c r="H154" s="1">
        <v>10</v>
      </c>
      <c r="I154" s="1">
        <v>7</v>
      </c>
      <c r="J154" s="1">
        <v>10</v>
      </c>
      <c r="K154" s="1">
        <v>6</v>
      </c>
      <c r="L154" s="1">
        <v>5</v>
      </c>
      <c r="M154" s="1">
        <v>4</v>
      </c>
      <c r="N154" s="1">
        <v>2</v>
      </c>
      <c r="O154" s="1">
        <v>1</v>
      </c>
      <c r="P154" s="1">
        <v>8</v>
      </c>
      <c r="Q154" s="1">
        <v>0</v>
      </c>
    </row>
    <row r="155" spans="1:17" x14ac:dyDescent="0.25">
      <c r="A155" s="1" t="s">
        <v>4</v>
      </c>
      <c r="B155" s="1">
        <v>10</v>
      </c>
      <c r="C155" s="1">
        <v>2</v>
      </c>
      <c r="D155" s="1">
        <v>4</v>
      </c>
      <c r="E155" s="1">
        <v>3</v>
      </c>
      <c r="F155" s="1">
        <v>0</v>
      </c>
      <c r="G155" s="1">
        <v>8</v>
      </c>
      <c r="H155" s="1">
        <v>8</v>
      </c>
      <c r="I155" s="1">
        <v>6</v>
      </c>
      <c r="J155" s="1">
        <v>12</v>
      </c>
      <c r="K155" s="1">
        <v>5</v>
      </c>
      <c r="L155" s="1">
        <v>7</v>
      </c>
      <c r="M155" s="1">
        <v>3</v>
      </c>
      <c r="N155" s="1">
        <v>2</v>
      </c>
      <c r="O155" s="1">
        <v>1</v>
      </c>
      <c r="P155" s="1">
        <v>11</v>
      </c>
      <c r="Q155" s="1">
        <v>0</v>
      </c>
    </row>
    <row r="156" spans="1:17" x14ac:dyDescent="0.25">
      <c r="A156" s="1" t="s">
        <v>6</v>
      </c>
      <c r="B156" s="1">
        <v>8</v>
      </c>
      <c r="C156" s="1">
        <v>2</v>
      </c>
      <c r="D156" s="1">
        <v>8</v>
      </c>
      <c r="E156" s="1">
        <v>5</v>
      </c>
      <c r="F156" s="1">
        <v>9</v>
      </c>
      <c r="G156" s="1">
        <v>0</v>
      </c>
      <c r="H156" s="1">
        <v>5</v>
      </c>
      <c r="I156" s="1">
        <v>4</v>
      </c>
      <c r="J156" s="1">
        <v>9</v>
      </c>
      <c r="K156" s="1">
        <v>3</v>
      </c>
      <c r="L156" s="1">
        <v>7</v>
      </c>
      <c r="M156" s="1">
        <v>3</v>
      </c>
      <c r="N156" s="1">
        <v>3</v>
      </c>
      <c r="O156" s="1">
        <v>1</v>
      </c>
      <c r="P156" s="1">
        <v>10</v>
      </c>
      <c r="Q156" s="1">
        <v>0</v>
      </c>
    </row>
    <row r="157" spans="1:17" x14ac:dyDescent="0.25">
      <c r="A157" s="1" t="s">
        <v>5</v>
      </c>
      <c r="B157" s="1">
        <v>14</v>
      </c>
      <c r="C157" s="1">
        <v>2</v>
      </c>
      <c r="D157" s="1">
        <v>6</v>
      </c>
      <c r="E157" s="1">
        <v>6</v>
      </c>
      <c r="F157" s="1">
        <v>9</v>
      </c>
      <c r="G157" s="1">
        <v>6</v>
      </c>
      <c r="H157" s="1">
        <v>0</v>
      </c>
      <c r="I157" s="1">
        <v>7</v>
      </c>
      <c r="J157" s="1">
        <v>12</v>
      </c>
      <c r="K157" s="1">
        <v>4</v>
      </c>
      <c r="L157" s="1">
        <v>7</v>
      </c>
      <c r="M157" s="1">
        <v>3</v>
      </c>
      <c r="N157" s="1">
        <v>5</v>
      </c>
      <c r="O157" s="1">
        <v>2</v>
      </c>
      <c r="P157" s="1">
        <v>12</v>
      </c>
      <c r="Q157" s="1">
        <v>0</v>
      </c>
    </row>
    <row r="158" spans="1:17" x14ac:dyDescent="0.25">
      <c r="A158" s="1" t="s">
        <v>8</v>
      </c>
      <c r="B158" s="1">
        <v>12</v>
      </c>
      <c r="C158" s="1">
        <v>1</v>
      </c>
      <c r="D158" s="1">
        <v>4</v>
      </c>
      <c r="E158" s="1">
        <v>9</v>
      </c>
      <c r="F158" s="1">
        <v>12</v>
      </c>
      <c r="G158" s="1">
        <v>10</v>
      </c>
      <c r="H158" s="1">
        <v>9</v>
      </c>
      <c r="I158" s="1">
        <v>0</v>
      </c>
      <c r="J158" s="1">
        <v>5</v>
      </c>
      <c r="K158" s="1">
        <v>1</v>
      </c>
      <c r="L158" s="1">
        <v>2</v>
      </c>
      <c r="M158" s="1">
        <v>2</v>
      </c>
      <c r="N158" s="1">
        <v>2</v>
      </c>
      <c r="O158" s="1">
        <v>0</v>
      </c>
      <c r="P158" s="1">
        <v>10</v>
      </c>
      <c r="Q158" s="1">
        <v>0</v>
      </c>
    </row>
    <row r="159" spans="1:17" x14ac:dyDescent="0.25">
      <c r="A159" s="1" t="s">
        <v>12</v>
      </c>
      <c r="B159" s="1">
        <v>8</v>
      </c>
      <c r="C159" s="1">
        <v>1</v>
      </c>
      <c r="D159" s="1">
        <v>8</v>
      </c>
      <c r="E159" s="1">
        <v>9</v>
      </c>
      <c r="F159" s="1">
        <v>18</v>
      </c>
      <c r="G159" s="1">
        <v>11</v>
      </c>
      <c r="H159" s="1">
        <v>14</v>
      </c>
      <c r="I159" s="1">
        <v>7</v>
      </c>
      <c r="J159" s="1">
        <v>0</v>
      </c>
      <c r="K159" s="1">
        <v>7</v>
      </c>
      <c r="L159" s="1">
        <v>3</v>
      </c>
      <c r="M159" s="1">
        <v>3</v>
      </c>
      <c r="N159" s="1">
        <v>6</v>
      </c>
      <c r="O159" s="1">
        <v>3</v>
      </c>
      <c r="P159" s="1">
        <v>9</v>
      </c>
      <c r="Q159" s="1">
        <v>0</v>
      </c>
    </row>
    <row r="160" spans="1:17" x14ac:dyDescent="0.25">
      <c r="A160" s="2" t="s">
        <v>23</v>
      </c>
      <c r="B160" s="1">
        <v>9</v>
      </c>
      <c r="C160" s="1">
        <v>1</v>
      </c>
      <c r="D160" s="1">
        <v>6</v>
      </c>
      <c r="E160" s="1">
        <v>5</v>
      </c>
      <c r="F160" s="1">
        <v>9</v>
      </c>
      <c r="G160" s="1">
        <v>5</v>
      </c>
      <c r="H160" s="1">
        <v>7</v>
      </c>
      <c r="I160" s="1">
        <v>4</v>
      </c>
      <c r="J160" s="1">
        <v>9</v>
      </c>
      <c r="K160" s="1">
        <v>0</v>
      </c>
      <c r="L160" s="1">
        <v>4</v>
      </c>
      <c r="M160" s="1">
        <v>3</v>
      </c>
      <c r="N160" s="1">
        <v>1</v>
      </c>
      <c r="O160" s="1">
        <v>0</v>
      </c>
      <c r="P160" s="1">
        <v>10</v>
      </c>
      <c r="Q160" s="1">
        <v>0</v>
      </c>
    </row>
    <row r="161" spans="1:17" x14ac:dyDescent="0.25">
      <c r="A161" s="2" t="s">
        <v>11</v>
      </c>
      <c r="B161" s="1">
        <v>5</v>
      </c>
      <c r="C161" s="1">
        <v>0</v>
      </c>
      <c r="D161" s="1">
        <v>3</v>
      </c>
      <c r="E161" s="1">
        <v>3</v>
      </c>
      <c r="F161" s="1">
        <v>7</v>
      </c>
      <c r="G161" s="1">
        <v>7</v>
      </c>
      <c r="H161" s="1">
        <v>7</v>
      </c>
      <c r="I161" s="1">
        <v>2</v>
      </c>
      <c r="J161" s="1">
        <v>4</v>
      </c>
      <c r="K161" s="1">
        <v>3</v>
      </c>
      <c r="L161" s="1">
        <v>0</v>
      </c>
      <c r="M161" s="1">
        <v>2</v>
      </c>
      <c r="N161" s="1">
        <v>1</v>
      </c>
      <c r="O161" s="1">
        <v>1</v>
      </c>
      <c r="P161" s="1">
        <v>5</v>
      </c>
      <c r="Q161" s="1">
        <v>0</v>
      </c>
    </row>
    <row r="162" spans="1:17" x14ac:dyDescent="0.25">
      <c r="A162" s="1" t="s">
        <v>9</v>
      </c>
      <c r="B162" s="1">
        <v>9</v>
      </c>
      <c r="C162" s="1">
        <v>0</v>
      </c>
      <c r="D162" s="1">
        <v>6</v>
      </c>
      <c r="E162" s="1">
        <v>2</v>
      </c>
      <c r="F162" s="1">
        <v>6</v>
      </c>
      <c r="G162" s="1">
        <v>5</v>
      </c>
      <c r="H162" s="1">
        <v>8</v>
      </c>
      <c r="I162" s="1">
        <v>5</v>
      </c>
      <c r="J162" s="1">
        <v>8</v>
      </c>
      <c r="K162" s="1">
        <v>3</v>
      </c>
      <c r="L162" s="1">
        <v>3</v>
      </c>
      <c r="M162" s="1">
        <v>0</v>
      </c>
      <c r="N162" s="1">
        <v>1</v>
      </c>
      <c r="O162" s="1">
        <v>1</v>
      </c>
      <c r="P162" s="1">
        <v>11</v>
      </c>
      <c r="Q162" s="1">
        <v>0</v>
      </c>
    </row>
    <row r="163" spans="1:17" x14ac:dyDescent="0.25">
      <c r="A163" s="1" t="s">
        <v>24</v>
      </c>
      <c r="B163" s="1">
        <v>8</v>
      </c>
      <c r="C163" s="1">
        <v>0</v>
      </c>
      <c r="D163" s="1">
        <v>3</v>
      </c>
      <c r="E163" s="1">
        <v>7</v>
      </c>
      <c r="F163" s="1">
        <v>9</v>
      </c>
      <c r="G163" s="1">
        <v>7</v>
      </c>
      <c r="H163" s="1">
        <v>8</v>
      </c>
      <c r="I163" s="1">
        <v>1</v>
      </c>
      <c r="J163" s="1">
        <v>6</v>
      </c>
      <c r="K163" s="1">
        <v>1</v>
      </c>
      <c r="L163" s="1">
        <v>0</v>
      </c>
      <c r="M163" s="1">
        <v>3</v>
      </c>
      <c r="N163" s="1">
        <v>0</v>
      </c>
      <c r="O163" s="1">
        <v>0</v>
      </c>
      <c r="P163" s="1">
        <v>6</v>
      </c>
      <c r="Q163" s="1">
        <v>0</v>
      </c>
    </row>
    <row r="164" spans="1:17" x14ac:dyDescent="0.25">
      <c r="A164" s="1" t="s">
        <v>26</v>
      </c>
      <c r="B164" s="1">
        <v>1</v>
      </c>
      <c r="C164" s="1">
        <v>0</v>
      </c>
      <c r="D164" s="1">
        <v>1</v>
      </c>
      <c r="E164" s="1">
        <v>4</v>
      </c>
      <c r="F164" s="1">
        <v>4</v>
      </c>
      <c r="G164" s="1">
        <v>1</v>
      </c>
      <c r="H164" s="1">
        <v>3</v>
      </c>
      <c r="I164" s="1">
        <v>1</v>
      </c>
      <c r="J164" s="1">
        <v>2</v>
      </c>
      <c r="K164" s="1">
        <v>0</v>
      </c>
      <c r="L164" s="1">
        <v>0</v>
      </c>
      <c r="M164" s="1">
        <v>1</v>
      </c>
      <c r="N164" s="1">
        <v>0</v>
      </c>
      <c r="O164" s="1">
        <v>0</v>
      </c>
      <c r="P164" s="1">
        <v>1</v>
      </c>
      <c r="Q164" s="1">
        <v>0</v>
      </c>
    </row>
    <row r="165" spans="1:17" x14ac:dyDescent="0.25">
      <c r="A165" s="1" t="s">
        <v>7</v>
      </c>
      <c r="B165" s="1">
        <v>2</v>
      </c>
      <c r="C165" s="1">
        <v>1</v>
      </c>
      <c r="D165" s="1">
        <v>1</v>
      </c>
      <c r="E165" s="1">
        <v>2</v>
      </c>
      <c r="F165" s="1">
        <v>4</v>
      </c>
      <c r="G165" s="1">
        <v>3</v>
      </c>
      <c r="H165" s="1">
        <v>5</v>
      </c>
      <c r="I165" s="1">
        <v>3</v>
      </c>
      <c r="J165" s="1">
        <v>2</v>
      </c>
      <c r="K165" s="1">
        <v>4</v>
      </c>
      <c r="L165" s="1">
        <v>2</v>
      </c>
      <c r="M165" s="1">
        <v>1</v>
      </c>
      <c r="N165" s="1">
        <v>0</v>
      </c>
      <c r="O165" s="1">
        <v>0</v>
      </c>
      <c r="P165" s="1">
        <v>0</v>
      </c>
      <c r="Q165" s="1">
        <v>0</v>
      </c>
    </row>
    <row r="166" spans="1:17" x14ac:dyDescent="0.25">
      <c r="A166" s="1" t="s">
        <v>10</v>
      </c>
      <c r="B166" s="1">
        <v>3</v>
      </c>
      <c r="C166" s="1">
        <v>0</v>
      </c>
      <c r="D166" s="1">
        <v>0</v>
      </c>
      <c r="E166" s="1">
        <v>2</v>
      </c>
      <c r="F166" s="1">
        <v>4</v>
      </c>
      <c r="G166" s="1">
        <v>4</v>
      </c>
      <c r="H166" s="1">
        <v>4</v>
      </c>
      <c r="I166" s="1">
        <v>0</v>
      </c>
      <c r="J166" s="1">
        <v>0</v>
      </c>
      <c r="K166" s="1">
        <v>0</v>
      </c>
      <c r="L166" s="1">
        <v>0</v>
      </c>
      <c r="M166" s="1">
        <v>0</v>
      </c>
      <c r="N166" s="1">
        <v>1</v>
      </c>
      <c r="O166" s="1">
        <v>0</v>
      </c>
      <c r="P166" s="1">
        <v>2</v>
      </c>
      <c r="Q166" s="1">
        <v>0</v>
      </c>
    </row>
    <row r="169" spans="1:17" x14ac:dyDescent="0.25">
      <c r="A169" s="3" t="s">
        <v>153</v>
      </c>
    </row>
    <row r="170" spans="1:17" x14ac:dyDescent="0.25">
      <c r="B170" s="1" t="s">
        <v>3</v>
      </c>
      <c r="C170" s="1" t="s">
        <v>18</v>
      </c>
      <c r="D170" s="1" t="s">
        <v>16</v>
      </c>
      <c r="E170" s="1" t="s">
        <v>22</v>
      </c>
      <c r="F170" s="1" t="s">
        <v>4</v>
      </c>
      <c r="G170" s="1" t="s">
        <v>6</v>
      </c>
      <c r="H170" s="1" t="s">
        <v>5</v>
      </c>
      <c r="I170" s="1" t="s">
        <v>8</v>
      </c>
      <c r="J170" s="1" t="s">
        <v>12</v>
      </c>
      <c r="K170" s="2" t="s">
        <v>23</v>
      </c>
      <c r="L170" s="2" t="s">
        <v>11</v>
      </c>
      <c r="M170" s="1" t="s">
        <v>9</v>
      </c>
      <c r="N170" s="1" t="s">
        <v>24</v>
      </c>
      <c r="O170" s="1" t="s">
        <v>26</v>
      </c>
      <c r="P170" s="1" t="s">
        <v>7</v>
      </c>
      <c r="Q170" s="1" t="s">
        <v>10</v>
      </c>
    </row>
    <row r="171" spans="1:17" x14ac:dyDescent="0.25">
      <c r="A171" s="1" t="s">
        <v>3</v>
      </c>
      <c r="B171" s="1">
        <v>0</v>
      </c>
      <c r="C171" s="1">
        <v>4</v>
      </c>
      <c r="D171" s="1">
        <v>14</v>
      </c>
      <c r="E171" s="1">
        <v>15</v>
      </c>
      <c r="F171" s="1">
        <v>20</v>
      </c>
      <c r="G171" s="1">
        <v>16</v>
      </c>
      <c r="H171" s="1">
        <v>24</v>
      </c>
      <c r="I171" s="1">
        <v>20</v>
      </c>
      <c r="J171" s="1">
        <v>12</v>
      </c>
      <c r="K171" s="1">
        <v>14</v>
      </c>
      <c r="L171" s="1">
        <v>7</v>
      </c>
      <c r="M171" s="1">
        <v>14</v>
      </c>
      <c r="N171" s="1">
        <v>14</v>
      </c>
      <c r="O171" s="1">
        <v>4</v>
      </c>
      <c r="P171" s="1">
        <v>6</v>
      </c>
      <c r="Q171" s="1">
        <v>3</v>
      </c>
    </row>
    <row r="172" spans="1:17" x14ac:dyDescent="0.25">
      <c r="A172" s="1" t="s">
        <v>18</v>
      </c>
      <c r="B172" s="1">
        <v>4</v>
      </c>
      <c r="C172" s="1">
        <v>0</v>
      </c>
      <c r="D172" s="1">
        <v>7</v>
      </c>
      <c r="E172" s="1">
        <v>2</v>
      </c>
      <c r="F172" s="1">
        <v>7</v>
      </c>
      <c r="G172" s="1">
        <v>4</v>
      </c>
      <c r="H172" s="1">
        <v>5</v>
      </c>
      <c r="I172" s="1">
        <v>3</v>
      </c>
      <c r="J172" s="1">
        <v>4</v>
      </c>
      <c r="K172" s="1">
        <v>3</v>
      </c>
      <c r="L172" s="1">
        <v>1</v>
      </c>
      <c r="M172" s="1">
        <v>0</v>
      </c>
      <c r="N172" s="1">
        <v>0</v>
      </c>
      <c r="O172" s="1">
        <v>0</v>
      </c>
      <c r="P172" s="1">
        <v>3</v>
      </c>
      <c r="Q172" s="1">
        <v>0</v>
      </c>
    </row>
    <row r="173" spans="1:17" x14ac:dyDescent="0.25">
      <c r="A173" s="1" t="s">
        <v>16</v>
      </c>
      <c r="B173" s="1">
        <v>14</v>
      </c>
      <c r="C173" s="1">
        <v>7</v>
      </c>
      <c r="D173" s="1">
        <v>0</v>
      </c>
      <c r="E173" s="1">
        <v>15</v>
      </c>
      <c r="F173" s="1">
        <v>14</v>
      </c>
      <c r="G173" s="1">
        <v>18</v>
      </c>
      <c r="H173" s="1">
        <v>15</v>
      </c>
      <c r="I173" s="1">
        <v>9</v>
      </c>
      <c r="J173" s="1">
        <v>22</v>
      </c>
      <c r="K173" s="1">
        <v>12</v>
      </c>
      <c r="L173" s="1">
        <v>6</v>
      </c>
      <c r="M173" s="1">
        <v>12</v>
      </c>
      <c r="N173" s="1">
        <v>6</v>
      </c>
      <c r="O173" s="1">
        <v>3</v>
      </c>
      <c r="P173" s="1">
        <v>7</v>
      </c>
      <c r="Q173" s="1">
        <v>0</v>
      </c>
    </row>
    <row r="174" spans="1:17" x14ac:dyDescent="0.25">
      <c r="A174" s="1" t="s">
        <v>22</v>
      </c>
      <c r="B174" s="1">
        <v>15</v>
      </c>
      <c r="C174" s="1">
        <v>2</v>
      </c>
      <c r="D174" s="1">
        <v>15</v>
      </c>
      <c r="E174" s="1">
        <v>0</v>
      </c>
      <c r="F174" s="1">
        <v>14</v>
      </c>
      <c r="G174" s="1">
        <v>12</v>
      </c>
      <c r="H174" s="1">
        <v>16</v>
      </c>
      <c r="I174" s="1">
        <v>16</v>
      </c>
      <c r="J174" s="1">
        <v>19</v>
      </c>
      <c r="K174" s="1">
        <v>11</v>
      </c>
      <c r="L174" s="1">
        <v>8</v>
      </c>
      <c r="M174" s="1">
        <v>6</v>
      </c>
      <c r="N174" s="1">
        <v>9</v>
      </c>
      <c r="O174" s="1">
        <v>5</v>
      </c>
      <c r="P174" s="1">
        <v>10</v>
      </c>
      <c r="Q174" s="1">
        <v>2</v>
      </c>
    </row>
    <row r="175" spans="1:17" x14ac:dyDescent="0.25">
      <c r="A175" s="1" t="s">
        <v>4</v>
      </c>
      <c r="B175" s="1">
        <v>20</v>
      </c>
      <c r="C175" s="1">
        <v>7</v>
      </c>
      <c r="D175" s="1">
        <v>14</v>
      </c>
      <c r="E175" s="1">
        <v>14</v>
      </c>
      <c r="F175" s="1">
        <v>0</v>
      </c>
      <c r="G175" s="1">
        <v>17</v>
      </c>
      <c r="H175" s="1">
        <v>17</v>
      </c>
      <c r="I175" s="1">
        <v>18</v>
      </c>
      <c r="J175" s="1">
        <v>30</v>
      </c>
      <c r="K175" s="1">
        <v>14</v>
      </c>
      <c r="L175" s="1">
        <v>14</v>
      </c>
      <c r="M175" s="1">
        <v>9</v>
      </c>
      <c r="N175" s="1">
        <v>11</v>
      </c>
      <c r="O175" s="1">
        <v>5</v>
      </c>
      <c r="P175" s="1">
        <v>15</v>
      </c>
      <c r="Q175" s="1">
        <v>4</v>
      </c>
    </row>
    <row r="176" spans="1:17" x14ac:dyDescent="0.25">
      <c r="A176" s="1" t="s">
        <v>6</v>
      </c>
      <c r="B176" s="1">
        <v>16</v>
      </c>
      <c r="C176" s="1">
        <v>4</v>
      </c>
      <c r="D176" s="1">
        <v>18</v>
      </c>
      <c r="E176" s="1">
        <v>12</v>
      </c>
      <c r="F176" s="1">
        <v>17</v>
      </c>
      <c r="G176" s="1">
        <v>0</v>
      </c>
      <c r="H176" s="1">
        <v>11</v>
      </c>
      <c r="I176" s="1">
        <v>14</v>
      </c>
      <c r="J176" s="1">
        <v>20</v>
      </c>
      <c r="K176" s="1">
        <v>8</v>
      </c>
      <c r="L176" s="1">
        <v>14</v>
      </c>
      <c r="M176" s="1">
        <v>8</v>
      </c>
      <c r="N176" s="1">
        <v>10</v>
      </c>
      <c r="O176" s="1">
        <v>2</v>
      </c>
      <c r="P176" s="1">
        <v>13</v>
      </c>
      <c r="Q176" s="1">
        <v>4</v>
      </c>
    </row>
    <row r="177" spans="1:17" x14ac:dyDescent="0.25">
      <c r="A177" s="1" t="s">
        <v>5</v>
      </c>
      <c r="B177" s="1">
        <v>24</v>
      </c>
      <c r="C177" s="1">
        <v>5</v>
      </c>
      <c r="D177" s="1">
        <v>15</v>
      </c>
      <c r="E177" s="1">
        <v>16</v>
      </c>
      <c r="F177" s="1">
        <v>17</v>
      </c>
      <c r="G177" s="1">
        <v>11</v>
      </c>
      <c r="H177" s="1">
        <v>0</v>
      </c>
      <c r="I177" s="1">
        <v>16</v>
      </c>
      <c r="J177" s="1">
        <v>26</v>
      </c>
      <c r="K177" s="1">
        <v>11</v>
      </c>
      <c r="L177" s="1">
        <v>14</v>
      </c>
      <c r="M177" s="1">
        <v>11</v>
      </c>
      <c r="N177" s="1">
        <v>13</v>
      </c>
      <c r="O177" s="1">
        <v>5</v>
      </c>
      <c r="P177" s="1">
        <v>17</v>
      </c>
      <c r="Q177" s="1">
        <v>4</v>
      </c>
    </row>
    <row r="178" spans="1:17" x14ac:dyDescent="0.25">
      <c r="A178" s="1" t="s">
        <v>8</v>
      </c>
      <c r="B178" s="1">
        <v>20</v>
      </c>
      <c r="C178" s="1">
        <v>3</v>
      </c>
      <c r="D178" s="1">
        <v>9</v>
      </c>
      <c r="E178" s="1">
        <v>16</v>
      </c>
      <c r="F178" s="1">
        <v>18</v>
      </c>
      <c r="G178" s="1">
        <v>14</v>
      </c>
      <c r="H178" s="1">
        <v>16</v>
      </c>
      <c r="I178" s="1">
        <v>0</v>
      </c>
      <c r="J178" s="1">
        <v>12</v>
      </c>
      <c r="K178" s="1">
        <v>5</v>
      </c>
      <c r="L178" s="1">
        <v>4</v>
      </c>
      <c r="M178" s="1">
        <v>7</v>
      </c>
      <c r="N178" s="1">
        <v>3</v>
      </c>
      <c r="O178" s="1">
        <v>1</v>
      </c>
      <c r="P178" s="1">
        <v>13</v>
      </c>
      <c r="Q178" s="1">
        <v>0</v>
      </c>
    </row>
    <row r="179" spans="1:17" x14ac:dyDescent="0.25">
      <c r="A179" s="1" t="s">
        <v>12</v>
      </c>
      <c r="B179" s="1">
        <v>12</v>
      </c>
      <c r="C179" s="1">
        <v>4</v>
      </c>
      <c r="D179" s="1">
        <v>22</v>
      </c>
      <c r="E179" s="1">
        <v>19</v>
      </c>
      <c r="F179" s="1">
        <v>30</v>
      </c>
      <c r="G179" s="1">
        <v>20</v>
      </c>
      <c r="H179" s="1">
        <v>26</v>
      </c>
      <c r="I179" s="1">
        <v>12</v>
      </c>
      <c r="J179" s="1">
        <v>0</v>
      </c>
      <c r="K179" s="1">
        <v>16</v>
      </c>
      <c r="L179" s="1">
        <v>7</v>
      </c>
      <c r="M179" s="1">
        <v>11</v>
      </c>
      <c r="N179" s="1">
        <v>12</v>
      </c>
      <c r="O179" s="1">
        <v>5</v>
      </c>
      <c r="P179" s="1">
        <v>11</v>
      </c>
      <c r="Q179" s="1">
        <v>0</v>
      </c>
    </row>
    <row r="180" spans="1:17" x14ac:dyDescent="0.25">
      <c r="A180" s="2" t="s">
        <v>23</v>
      </c>
      <c r="B180" s="1">
        <v>14</v>
      </c>
      <c r="C180" s="1">
        <v>3</v>
      </c>
      <c r="D180" s="1">
        <v>12</v>
      </c>
      <c r="E180" s="1">
        <v>11</v>
      </c>
      <c r="F180" s="1">
        <v>14</v>
      </c>
      <c r="G180" s="1">
        <v>8</v>
      </c>
      <c r="H180" s="1">
        <v>11</v>
      </c>
      <c r="I180" s="1">
        <v>5</v>
      </c>
      <c r="J180" s="1">
        <v>16</v>
      </c>
      <c r="K180" s="1">
        <v>0</v>
      </c>
      <c r="L180" s="1">
        <v>7</v>
      </c>
      <c r="M180" s="1">
        <v>6</v>
      </c>
      <c r="N180" s="1">
        <v>2</v>
      </c>
      <c r="O180" s="1">
        <v>0</v>
      </c>
      <c r="P180" s="1">
        <v>14</v>
      </c>
      <c r="Q180" s="1">
        <v>0</v>
      </c>
    </row>
    <row r="181" spans="1:17" x14ac:dyDescent="0.25">
      <c r="A181" s="2" t="s">
        <v>11</v>
      </c>
      <c r="B181" s="1">
        <v>7</v>
      </c>
      <c r="C181" s="1">
        <v>1</v>
      </c>
      <c r="D181" s="1">
        <v>6</v>
      </c>
      <c r="E181" s="1">
        <v>8</v>
      </c>
      <c r="F181" s="1">
        <v>14</v>
      </c>
      <c r="G181" s="1">
        <v>14</v>
      </c>
      <c r="H181" s="1">
        <v>14</v>
      </c>
      <c r="I181" s="1">
        <v>4</v>
      </c>
      <c r="J181" s="1">
        <v>7</v>
      </c>
      <c r="K181" s="1">
        <v>7</v>
      </c>
      <c r="L181" s="1">
        <v>0</v>
      </c>
      <c r="M181" s="1">
        <v>5</v>
      </c>
      <c r="N181" s="1">
        <v>1</v>
      </c>
      <c r="O181" s="1">
        <v>1</v>
      </c>
      <c r="P181" s="1">
        <v>7</v>
      </c>
      <c r="Q181" s="1">
        <v>0</v>
      </c>
    </row>
    <row r="182" spans="1:17" x14ac:dyDescent="0.25">
      <c r="A182" s="1" t="s">
        <v>9</v>
      </c>
      <c r="B182" s="1">
        <v>14</v>
      </c>
      <c r="C182" s="1">
        <v>0</v>
      </c>
      <c r="D182" s="1">
        <v>12</v>
      </c>
      <c r="E182" s="1">
        <v>6</v>
      </c>
      <c r="F182" s="1">
        <v>9</v>
      </c>
      <c r="G182" s="1">
        <v>8</v>
      </c>
      <c r="H182" s="1">
        <v>11</v>
      </c>
      <c r="I182" s="1">
        <v>7</v>
      </c>
      <c r="J182" s="1">
        <v>11</v>
      </c>
      <c r="K182" s="1">
        <v>6</v>
      </c>
      <c r="L182" s="1">
        <v>5</v>
      </c>
      <c r="M182" s="1">
        <v>0</v>
      </c>
      <c r="N182" s="1">
        <v>4</v>
      </c>
      <c r="O182" s="1">
        <v>2</v>
      </c>
      <c r="P182" s="1">
        <v>12</v>
      </c>
      <c r="Q182" s="1">
        <v>0</v>
      </c>
    </row>
    <row r="183" spans="1:17" x14ac:dyDescent="0.25">
      <c r="A183" s="1" t="s">
        <v>24</v>
      </c>
      <c r="B183" s="1">
        <v>14</v>
      </c>
      <c r="C183" s="1">
        <v>0</v>
      </c>
      <c r="D183" s="1">
        <v>6</v>
      </c>
      <c r="E183" s="1">
        <v>9</v>
      </c>
      <c r="F183" s="1">
        <v>11</v>
      </c>
      <c r="G183" s="1">
        <v>10</v>
      </c>
      <c r="H183" s="1">
        <v>13</v>
      </c>
      <c r="I183" s="1">
        <v>3</v>
      </c>
      <c r="J183" s="1">
        <v>12</v>
      </c>
      <c r="K183" s="1">
        <v>2</v>
      </c>
      <c r="L183" s="1">
        <v>1</v>
      </c>
      <c r="M183" s="1">
        <v>4</v>
      </c>
      <c r="N183" s="1">
        <v>0</v>
      </c>
      <c r="O183" s="1">
        <v>0</v>
      </c>
      <c r="P183" s="1">
        <v>6</v>
      </c>
      <c r="Q183" s="1">
        <v>1</v>
      </c>
    </row>
    <row r="184" spans="1:17" x14ac:dyDescent="0.25">
      <c r="A184" s="1" t="s">
        <v>26</v>
      </c>
      <c r="B184" s="1">
        <v>4</v>
      </c>
      <c r="C184" s="1">
        <v>0</v>
      </c>
      <c r="D184" s="1">
        <v>3</v>
      </c>
      <c r="E184" s="1">
        <v>5</v>
      </c>
      <c r="F184" s="1">
        <v>5</v>
      </c>
      <c r="G184" s="1">
        <v>2</v>
      </c>
      <c r="H184" s="1">
        <v>5</v>
      </c>
      <c r="I184" s="1">
        <v>1</v>
      </c>
      <c r="J184" s="1">
        <v>5</v>
      </c>
      <c r="K184" s="1">
        <v>0</v>
      </c>
      <c r="L184" s="1">
        <v>1</v>
      </c>
      <c r="M184" s="1">
        <v>2</v>
      </c>
      <c r="N184" s="1">
        <v>0</v>
      </c>
      <c r="O184" s="1">
        <v>0</v>
      </c>
      <c r="P184" s="1">
        <v>1</v>
      </c>
      <c r="Q184" s="1">
        <v>0</v>
      </c>
    </row>
    <row r="185" spans="1:17" x14ac:dyDescent="0.25">
      <c r="A185" s="1" t="s">
        <v>7</v>
      </c>
      <c r="B185" s="1">
        <v>6</v>
      </c>
      <c r="C185" s="1">
        <v>3</v>
      </c>
      <c r="D185" s="1">
        <v>7</v>
      </c>
      <c r="E185" s="1">
        <v>10</v>
      </c>
      <c r="F185" s="1">
        <v>15</v>
      </c>
      <c r="G185" s="1">
        <v>13</v>
      </c>
      <c r="H185" s="1">
        <v>17</v>
      </c>
      <c r="I185" s="1">
        <v>13</v>
      </c>
      <c r="J185" s="1">
        <v>11</v>
      </c>
      <c r="K185" s="1">
        <v>14</v>
      </c>
      <c r="L185" s="1">
        <v>7</v>
      </c>
      <c r="M185" s="1">
        <v>12</v>
      </c>
      <c r="N185" s="1">
        <v>6</v>
      </c>
      <c r="O185" s="1">
        <v>1</v>
      </c>
      <c r="P185" s="1">
        <v>0</v>
      </c>
      <c r="Q185" s="1">
        <v>2</v>
      </c>
    </row>
    <row r="186" spans="1:17" x14ac:dyDescent="0.25">
      <c r="A186" s="1" t="s">
        <v>10</v>
      </c>
      <c r="B186" s="1">
        <v>3</v>
      </c>
      <c r="C186" s="1">
        <v>0</v>
      </c>
      <c r="D186" s="1">
        <v>0</v>
      </c>
      <c r="E186" s="1">
        <v>2</v>
      </c>
      <c r="F186" s="1">
        <v>4</v>
      </c>
      <c r="G186" s="1">
        <v>4</v>
      </c>
      <c r="H186" s="1">
        <v>4</v>
      </c>
      <c r="I186" s="1">
        <v>0</v>
      </c>
      <c r="J186" s="1">
        <v>0</v>
      </c>
      <c r="K186" s="1">
        <v>0</v>
      </c>
      <c r="L186" s="1">
        <v>0</v>
      </c>
      <c r="M186" s="1">
        <v>0</v>
      </c>
      <c r="N186" s="1">
        <v>1</v>
      </c>
      <c r="O186" s="1">
        <v>0</v>
      </c>
      <c r="P186" s="1">
        <v>2</v>
      </c>
      <c r="Q186" s="1">
        <v>0</v>
      </c>
    </row>
    <row r="189" spans="1:17" x14ac:dyDescent="0.25">
      <c r="A189" s="3" t="s">
        <v>154</v>
      </c>
    </row>
    <row r="190" spans="1:17" x14ac:dyDescent="0.25">
      <c r="B190" s="1" t="s">
        <v>3</v>
      </c>
      <c r="C190" s="1" t="s">
        <v>18</v>
      </c>
      <c r="D190" s="1" t="s">
        <v>16</v>
      </c>
      <c r="E190" s="1" t="s">
        <v>22</v>
      </c>
      <c r="F190" s="1" t="s">
        <v>4</v>
      </c>
      <c r="G190" s="1" t="s">
        <v>6</v>
      </c>
      <c r="H190" s="1" t="s">
        <v>5</v>
      </c>
      <c r="I190" s="1" t="s">
        <v>8</v>
      </c>
      <c r="J190" s="1" t="s">
        <v>12</v>
      </c>
      <c r="K190" s="2" t="s">
        <v>23</v>
      </c>
      <c r="L190" s="2" t="s">
        <v>11</v>
      </c>
      <c r="M190" s="1" t="s">
        <v>9</v>
      </c>
      <c r="N190" s="1" t="s">
        <v>24</v>
      </c>
      <c r="O190" s="1" t="s">
        <v>26</v>
      </c>
      <c r="P190" s="1" t="s">
        <v>7</v>
      </c>
      <c r="Q190" s="1" t="s">
        <v>10</v>
      </c>
    </row>
    <row r="191" spans="1:17" x14ac:dyDescent="0.25">
      <c r="A191" s="1" t="s">
        <v>3</v>
      </c>
      <c r="B191" s="7" t="str">
        <f t="shared" ref="B191:Q191" si="6">IF(B171=0,"",B151/B171)</f>
        <v/>
      </c>
      <c r="C191" s="7">
        <f t="shared" si="6"/>
        <v>0</v>
      </c>
      <c r="D191" s="7">
        <f t="shared" si="6"/>
        <v>0.42857142857142855</v>
      </c>
      <c r="E191" s="7">
        <f t="shared" si="6"/>
        <v>0.4</v>
      </c>
      <c r="F191" s="7">
        <f t="shared" si="6"/>
        <v>0.5</v>
      </c>
      <c r="G191" s="7">
        <f t="shared" si="6"/>
        <v>0.5</v>
      </c>
      <c r="H191" s="7">
        <f t="shared" si="6"/>
        <v>0.41666666666666669</v>
      </c>
      <c r="I191" s="7">
        <f t="shared" si="6"/>
        <v>0.4</v>
      </c>
      <c r="J191" s="7">
        <f t="shared" si="6"/>
        <v>0.33333333333333331</v>
      </c>
      <c r="K191" s="7">
        <f t="shared" si="6"/>
        <v>0.35714285714285715</v>
      </c>
      <c r="L191" s="7">
        <f t="shared" si="6"/>
        <v>0.2857142857142857</v>
      </c>
      <c r="M191" s="7">
        <f t="shared" si="6"/>
        <v>0.35714285714285715</v>
      </c>
      <c r="N191" s="7">
        <f t="shared" si="6"/>
        <v>0.42857142857142855</v>
      </c>
      <c r="O191" s="7">
        <f t="shared" si="6"/>
        <v>0.75</v>
      </c>
      <c r="P191" s="7">
        <f t="shared" si="6"/>
        <v>0.66666666666666663</v>
      </c>
      <c r="Q191" s="7">
        <f t="shared" si="6"/>
        <v>0</v>
      </c>
    </row>
    <row r="192" spans="1:17" x14ac:dyDescent="0.25">
      <c r="A192" s="1" t="s">
        <v>18</v>
      </c>
      <c r="B192" s="7">
        <f t="shared" ref="B192:Q192" si="7">IF(B172=0,"",B152/B172)</f>
        <v>1</v>
      </c>
      <c r="C192" s="7" t="str">
        <f t="shared" si="7"/>
        <v/>
      </c>
      <c r="D192" s="7">
        <f t="shared" si="7"/>
        <v>0.7142857142857143</v>
      </c>
      <c r="E192" s="7">
        <f t="shared" si="7"/>
        <v>0</v>
      </c>
      <c r="F192" s="7">
        <f t="shared" si="7"/>
        <v>0.7142857142857143</v>
      </c>
      <c r="G192" s="7">
        <f t="shared" si="7"/>
        <v>0.5</v>
      </c>
      <c r="H192" s="7">
        <f t="shared" si="7"/>
        <v>0.6</v>
      </c>
      <c r="I192" s="7">
        <f t="shared" si="7"/>
        <v>0.66666666666666663</v>
      </c>
      <c r="J192" s="7">
        <f t="shared" si="7"/>
        <v>0.75</v>
      </c>
      <c r="K192" s="7">
        <f t="shared" si="7"/>
        <v>0.66666666666666663</v>
      </c>
      <c r="L192" s="7">
        <f t="shared" si="7"/>
        <v>1</v>
      </c>
      <c r="M192" s="7" t="str">
        <f t="shared" si="7"/>
        <v/>
      </c>
      <c r="N192" s="7" t="str">
        <f t="shared" si="7"/>
        <v/>
      </c>
      <c r="O192" s="7" t="str">
        <f t="shared" si="7"/>
        <v/>
      </c>
      <c r="P192" s="7">
        <f t="shared" si="7"/>
        <v>0.66666666666666663</v>
      </c>
      <c r="Q192" s="7" t="str">
        <f t="shared" si="7"/>
        <v/>
      </c>
    </row>
    <row r="193" spans="1:17" x14ac:dyDescent="0.25">
      <c r="A193" s="1" t="s">
        <v>16</v>
      </c>
      <c r="B193" s="7">
        <f t="shared" ref="B193:Q193" si="8">IF(B173=0,"",B153/B173)</f>
        <v>0.5714285714285714</v>
      </c>
      <c r="C193" s="7">
        <f t="shared" si="8"/>
        <v>0.2857142857142857</v>
      </c>
      <c r="D193" s="7" t="str">
        <f t="shared" si="8"/>
        <v/>
      </c>
      <c r="E193" s="7">
        <f t="shared" si="8"/>
        <v>0.6</v>
      </c>
      <c r="F193" s="7">
        <f t="shared" si="8"/>
        <v>0.7142857142857143</v>
      </c>
      <c r="G193" s="7">
        <f t="shared" si="8"/>
        <v>0.55555555555555558</v>
      </c>
      <c r="H193" s="7">
        <f t="shared" si="8"/>
        <v>0.6</v>
      </c>
      <c r="I193" s="7">
        <f t="shared" si="8"/>
        <v>0.55555555555555558</v>
      </c>
      <c r="J193" s="7">
        <f t="shared" si="8"/>
        <v>0.63636363636363635</v>
      </c>
      <c r="K193" s="7">
        <f t="shared" si="8"/>
        <v>0.5</v>
      </c>
      <c r="L193" s="7">
        <f t="shared" si="8"/>
        <v>0.5</v>
      </c>
      <c r="M193" s="7">
        <f t="shared" si="8"/>
        <v>0.5</v>
      </c>
      <c r="N193" s="7">
        <f t="shared" si="8"/>
        <v>0.5</v>
      </c>
      <c r="O193" s="7">
        <f t="shared" si="8"/>
        <v>0.66666666666666663</v>
      </c>
      <c r="P193" s="7">
        <f t="shared" si="8"/>
        <v>0.8571428571428571</v>
      </c>
      <c r="Q193" s="7" t="str">
        <f t="shared" si="8"/>
        <v/>
      </c>
    </row>
    <row r="194" spans="1:17" x14ac:dyDescent="0.25">
      <c r="A194" s="1" t="s">
        <v>22</v>
      </c>
      <c r="B194" s="7">
        <f t="shared" ref="B194:Q194" si="9">IF(B174=0,"",B154/B174)</f>
        <v>0.6</v>
      </c>
      <c r="C194" s="7">
        <f t="shared" si="9"/>
        <v>1</v>
      </c>
      <c r="D194" s="7">
        <f t="shared" si="9"/>
        <v>0.4</v>
      </c>
      <c r="E194" s="7" t="str">
        <f t="shared" si="9"/>
        <v/>
      </c>
      <c r="F194" s="7">
        <f t="shared" si="9"/>
        <v>0.7857142857142857</v>
      </c>
      <c r="G194" s="7">
        <f t="shared" si="9"/>
        <v>0.58333333333333337</v>
      </c>
      <c r="H194" s="7">
        <f t="shared" si="9"/>
        <v>0.625</v>
      </c>
      <c r="I194" s="7">
        <f t="shared" si="9"/>
        <v>0.4375</v>
      </c>
      <c r="J194" s="7">
        <f t="shared" si="9"/>
        <v>0.52631578947368418</v>
      </c>
      <c r="K194" s="7">
        <f t="shared" si="9"/>
        <v>0.54545454545454541</v>
      </c>
      <c r="L194" s="7">
        <f t="shared" si="9"/>
        <v>0.625</v>
      </c>
      <c r="M194" s="7">
        <f t="shared" si="9"/>
        <v>0.66666666666666663</v>
      </c>
      <c r="N194" s="7">
        <f t="shared" si="9"/>
        <v>0.22222222222222221</v>
      </c>
      <c r="O194" s="7">
        <f t="shared" si="9"/>
        <v>0.2</v>
      </c>
      <c r="P194" s="7">
        <f t="shared" si="9"/>
        <v>0.8</v>
      </c>
      <c r="Q194" s="7">
        <f t="shared" si="9"/>
        <v>0</v>
      </c>
    </row>
    <row r="195" spans="1:17" x14ac:dyDescent="0.25">
      <c r="A195" s="1" t="s">
        <v>4</v>
      </c>
      <c r="B195" s="7">
        <f t="shared" ref="B195:Q195" si="10">IF(B175=0,"",B155/B175)</f>
        <v>0.5</v>
      </c>
      <c r="C195" s="7">
        <f t="shared" si="10"/>
        <v>0.2857142857142857</v>
      </c>
      <c r="D195" s="7">
        <f t="shared" si="10"/>
        <v>0.2857142857142857</v>
      </c>
      <c r="E195" s="7">
        <f t="shared" si="10"/>
        <v>0.21428571428571427</v>
      </c>
      <c r="F195" s="7" t="str">
        <f t="shared" si="10"/>
        <v/>
      </c>
      <c r="G195" s="7">
        <f t="shared" si="10"/>
        <v>0.47058823529411764</v>
      </c>
      <c r="H195" s="7">
        <f t="shared" si="10"/>
        <v>0.47058823529411764</v>
      </c>
      <c r="I195" s="7">
        <f t="shared" si="10"/>
        <v>0.33333333333333331</v>
      </c>
      <c r="J195" s="7">
        <f t="shared" si="10"/>
        <v>0.4</v>
      </c>
      <c r="K195" s="7">
        <f t="shared" si="10"/>
        <v>0.35714285714285715</v>
      </c>
      <c r="L195" s="7">
        <f t="shared" si="10"/>
        <v>0.5</v>
      </c>
      <c r="M195" s="7">
        <f t="shared" si="10"/>
        <v>0.33333333333333331</v>
      </c>
      <c r="N195" s="7">
        <f t="shared" si="10"/>
        <v>0.18181818181818182</v>
      </c>
      <c r="O195" s="7">
        <f t="shared" si="10"/>
        <v>0.2</v>
      </c>
      <c r="P195" s="7">
        <f t="shared" si="10"/>
        <v>0.73333333333333328</v>
      </c>
      <c r="Q195" s="7">
        <f t="shared" si="10"/>
        <v>0</v>
      </c>
    </row>
    <row r="196" spans="1:17" x14ac:dyDescent="0.25">
      <c r="A196" s="1" t="s">
        <v>6</v>
      </c>
      <c r="B196" s="7">
        <f t="shared" ref="B196:Q196" si="11">IF(B176=0,"",B156/B176)</f>
        <v>0.5</v>
      </c>
      <c r="C196" s="7">
        <f t="shared" si="11"/>
        <v>0.5</v>
      </c>
      <c r="D196" s="7">
        <f t="shared" si="11"/>
        <v>0.44444444444444442</v>
      </c>
      <c r="E196" s="7">
        <f t="shared" si="11"/>
        <v>0.41666666666666669</v>
      </c>
      <c r="F196" s="7">
        <f t="shared" si="11"/>
        <v>0.52941176470588236</v>
      </c>
      <c r="G196" s="7" t="str">
        <f t="shared" si="11"/>
        <v/>
      </c>
      <c r="H196" s="7">
        <f t="shared" si="11"/>
        <v>0.45454545454545453</v>
      </c>
      <c r="I196" s="7">
        <f t="shared" si="11"/>
        <v>0.2857142857142857</v>
      </c>
      <c r="J196" s="7">
        <f t="shared" si="11"/>
        <v>0.45</v>
      </c>
      <c r="K196" s="7">
        <f t="shared" si="11"/>
        <v>0.375</v>
      </c>
      <c r="L196" s="7">
        <f t="shared" si="11"/>
        <v>0.5</v>
      </c>
      <c r="M196" s="7">
        <f t="shared" si="11"/>
        <v>0.375</v>
      </c>
      <c r="N196" s="7">
        <f t="shared" si="11"/>
        <v>0.3</v>
      </c>
      <c r="O196" s="7">
        <f t="shared" si="11"/>
        <v>0.5</v>
      </c>
      <c r="P196" s="7">
        <f t="shared" si="11"/>
        <v>0.76923076923076927</v>
      </c>
      <c r="Q196" s="7">
        <f t="shared" si="11"/>
        <v>0</v>
      </c>
    </row>
    <row r="197" spans="1:17" x14ac:dyDescent="0.25">
      <c r="A197" s="1" t="s">
        <v>5</v>
      </c>
      <c r="B197" s="7">
        <f t="shared" ref="B197:Q197" si="12">IF(B177=0,"",B157/B177)</f>
        <v>0.58333333333333337</v>
      </c>
      <c r="C197" s="7">
        <f t="shared" si="12"/>
        <v>0.4</v>
      </c>
      <c r="D197" s="7">
        <f t="shared" si="12"/>
        <v>0.4</v>
      </c>
      <c r="E197" s="7">
        <f t="shared" si="12"/>
        <v>0.375</v>
      </c>
      <c r="F197" s="7">
        <f t="shared" si="12"/>
        <v>0.52941176470588236</v>
      </c>
      <c r="G197" s="7">
        <f t="shared" si="12"/>
        <v>0.54545454545454541</v>
      </c>
      <c r="H197" s="7" t="str">
        <f t="shared" si="12"/>
        <v/>
      </c>
      <c r="I197" s="7">
        <f t="shared" si="12"/>
        <v>0.4375</v>
      </c>
      <c r="J197" s="7">
        <f t="shared" si="12"/>
        <v>0.46153846153846156</v>
      </c>
      <c r="K197" s="7">
        <f t="shared" si="12"/>
        <v>0.36363636363636365</v>
      </c>
      <c r="L197" s="7">
        <f t="shared" si="12"/>
        <v>0.5</v>
      </c>
      <c r="M197" s="7">
        <f t="shared" si="12"/>
        <v>0.27272727272727271</v>
      </c>
      <c r="N197" s="7">
        <f t="shared" si="12"/>
        <v>0.38461538461538464</v>
      </c>
      <c r="O197" s="7">
        <f t="shared" si="12"/>
        <v>0.4</v>
      </c>
      <c r="P197" s="7">
        <f t="shared" si="12"/>
        <v>0.70588235294117652</v>
      </c>
      <c r="Q197" s="7">
        <f t="shared" si="12"/>
        <v>0</v>
      </c>
    </row>
    <row r="198" spans="1:17" x14ac:dyDescent="0.25">
      <c r="A198" s="1" t="s">
        <v>8</v>
      </c>
      <c r="B198" s="7">
        <f t="shared" ref="B198:Q198" si="13">IF(B178=0,"",B158/B178)</f>
        <v>0.6</v>
      </c>
      <c r="C198" s="7">
        <f t="shared" si="13"/>
        <v>0.33333333333333331</v>
      </c>
      <c r="D198" s="7">
        <f t="shared" si="13"/>
        <v>0.44444444444444442</v>
      </c>
      <c r="E198" s="7">
        <f t="shared" si="13"/>
        <v>0.5625</v>
      </c>
      <c r="F198" s="7">
        <f t="shared" si="13"/>
        <v>0.66666666666666663</v>
      </c>
      <c r="G198" s="7">
        <f t="shared" si="13"/>
        <v>0.7142857142857143</v>
      </c>
      <c r="H198" s="7">
        <f t="shared" si="13"/>
        <v>0.5625</v>
      </c>
      <c r="I198" s="7" t="str">
        <f t="shared" si="13"/>
        <v/>
      </c>
      <c r="J198" s="7">
        <f t="shared" si="13"/>
        <v>0.41666666666666669</v>
      </c>
      <c r="K198" s="7">
        <f t="shared" si="13"/>
        <v>0.2</v>
      </c>
      <c r="L198" s="7">
        <f t="shared" si="13"/>
        <v>0.5</v>
      </c>
      <c r="M198" s="7">
        <f t="shared" si="13"/>
        <v>0.2857142857142857</v>
      </c>
      <c r="N198" s="7">
        <f t="shared" si="13"/>
        <v>0.66666666666666663</v>
      </c>
      <c r="O198" s="7">
        <f t="shared" si="13"/>
        <v>0</v>
      </c>
      <c r="P198" s="7">
        <f t="shared" si="13"/>
        <v>0.76923076923076927</v>
      </c>
      <c r="Q198" s="7" t="str">
        <f t="shared" si="13"/>
        <v/>
      </c>
    </row>
    <row r="199" spans="1:17" x14ac:dyDescent="0.25">
      <c r="A199" s="1" t="s">
        <v>12</v>
      </c>
      <c r="B199" s="7">
        <f t="shared" ref="B199:Q199" si="14">IF(B179=0,"",B159/B179)</f>
        <v>0.66666666666666663</v>
      </c>
      <c r="C199" s="7">
        <f t="shared" si="14"/>
        <v>0.25</v>
      </c>
      <c r="D199" s="7">
        <f t="shared" si="14"/>
        <v>0.36363636363636365</v>
      </c>
      <c r="E199" s="7">
        <f t="shared" si="14"/>
        <v>0.47368421052631576</v>
      </c>
      <c r="F199" s="7">
        <f t="shared" si="14"/>
        <v>0.6</v>
      </c>
      <c r="G199" s="7">
        <f t="shared" si="14"/>
        <v>0.55000000000000004</v>
      </c>
      <c r="H199" s="7">
        <f t="shared" si="14"/>
        <v>0.53846153846153844</v>
      </c>
      <c r="I199" s="7">
        <f t="shared" si="14"/>
        <v>0.58333333333333337</v>
      </c>
      <c r="J199" s="7" t="str">
        <f t="shared" si="14"/>
        <v/>
      </c>
      <c r="K199" s="7">
        <f t="shared" si="14"/>
        <v>0.4375</v>
      </c>
      <c r="L199" s="7">
        <f t="shared" si="14"/>
        <v>0.42857142857142855</v>
      </c>
      <c r="M199" s="7">
        <f t="shared" si="14"/>
        <v>0.27272727272727271</v>
      </c>
      <c r="N199" s="7">
        <f t="shared" si="14"/>
        <v>0.5</v>
      </c>
      <c r="O199" s="7">
        <f t="shared" si="14"/>
        <v>0.6</v>
      </c>
      <c r="P199" s="7">
        <f t="shared" si="14"/>
        <v>0.81818181818181823</v>
      </c>
      <c r="Q199" s="7" t="str">
        <f t="shared" si="14"/>
        <v/>
      </c>
    </row>
    <row r="200" spans="1:17" x14ac:dyDescent="0.25">
      <c r="A200" s="2" t="s">
        <v>23</v>
      </c>
      <c r="B200" s="7">
        <f t="shared" ref="B200:Q200" si="15">IF(B180=0,"",B160/B180)</f>
        <v>0.6428571428571429</v>
      </c>
      <c r="C200" s="7">
        <f t="shared" si="15"/>
        <v>0.33333333333333331</v>
      </c>
      <c r="D200" s="7">
        <f t="shared" si="15"/>
        <v>0.5</v>
      </c>
      <c r="E200" s="7">
        <f t="shared" si="15"/>
        <v>0.45454545454545453</v>
      </c>
      <c r="F200" s="7">
        <f t="shared" si="15"/>
        <v>0.6428571428571429</v>
      </c>
      <c r="G200" s="7">
        <f t="shared" si="15"/>
        <v>0.625</v>
      </c>
      <c r="H200" s="7">
        <f t="shared" si="15"/>
        <v>0.63636363636363635</v>
      </c>
      <c r="I200" s="7">
        <f t="shared" si="15"/>
        <v>0.8</v>
      </c>
      <c r="J200" s="7">
        <f t="shared" si="15"/>
        <v>0.5625</v>
      </c>
      <c r="K200" s="7" t="str">
        <f t="shared" si="15"/>
        <v/>
      </c>
      <c r="L200" s="7">
        <f t="shared" si="15"/>
        <v>0.5714285714285714</v>
      </c>
      <c r="M200" s="7">
        <f t="shared" si="15"/>
        <v>0.5</v>
      </c>
      <c r="N200" s="7">
        <f t="shared" si="15"/>
        <v>0.5</v>
      </c>
      <c r="O200" s="7" t="str">
        <f t="shared" si="15"/>
        <v/>
      </c>
      <c r="P200" s="7">
        <f t="shared" si="15"/>
        <v>0.7142857142857143</v>
      </c>
      <c r="Q200" s="7" t="str">
        <f t="shared" si="15"/>
        <v/>
      </c>
    </row>
    <row r="201" spans="1:17" x14ac:dyDescent="0.25">
      <c r="A201" s="2" t="s">
        <v>11</v>
      </c>
      <c r="B201" s="7">
        <f t="shared" ref="B201:Q201" si="16">IF(B181=0,"",B161/B181)</f>
        <v>0.7142857142857143</v>
      </c>
      <c r="C201" s="7">
        <f t="shared" si="16"/>
        <v>0</v>
      </c>
      <c r="D201" s="7">
        <f t="shared" si="16"/>
        <v>0.5</v>
      </c>
      <c r="E201" s="7">
        <f t="shared" si="16"/>
        <v>0.375</v>
      </c>
      <c r="F201" s="7">
        <f t="shared" si="16"/>
        <v>0.5</v>
      </c>
      <c r="G201" s="7">
        <f t="shared" si="16"/>
        <v>0.5</v>
      </c>
      <c r="H201" s="7">
        <f t="shared" si="16"/>
        <v>0.5</v>
      </c>
      <c r="I201" s="7">
        <f t="shared" si="16"/>
        <v>0.5</v>
      </c>
      <c r="J201" s="7">
        <f t="shared" si="16"/>
        <v>0.5714285714285714</v>
      </c>
      <c r="K201" s="7">
        <f t="shared" si="16"/>
        <v>0.42857142857142855</v>
      </c>
      <c r="L201" s="7" t="str">
        <f t="shared" si="16"/>
        <v/>
      </c>
      <c r="M201" s="7">
        <f t="shared" si="16"/>
        <v>0.4</v>
      </c>
      <c r="N201" s="7">
        <f t="shared" si="16"/>
        <v>1</v>
      </c>
      <c r="O201" s="7">
        <f t="shared" si="16"/>
        <v>1</v>
      </c>
      <c r="P201" s="7">
        <f t="shared" si="16"/>
        <v>0.7142857142857143</v>
      </c>
      <c r="Q201" s="7" t="str">
        <f t="shared" si="16"/>
        <v/>
      </c>
    </row>
    <row r="202" spans="1:17" x14ac:dyDescent="0.25">
      <c r="A202" s="1" t="s">
        <v>9</v>
      </c>
      <c r="B202" s="7">
        <f t="shared" ref="B202:Q202" si="17">IF(B182=0,"",B162/B182)</f>
        <v>0.6428571428571429</v>
      </c>
      <c r="C202" s="7" t="str">
        <f t="shared" si="17"/>
        <v/>
      </c>
      <c r="D202" s="7">
        <f t="shared" si="17"/>
        <v>0.5</v>
      </c>
      <c r="E202" s="7">
        <f t="shared" si="17"/>
        <v>0.33333333333333331</v>
      </c>
      <c r="F202" s="7">
        <f t="shared" si="17"/>
        <v>0.66666666666666663</v>
      </c>
      <c r="G202" s="7">
        <f t="shared" si="17"/>
        <v>0.625</v>
      </c>
      <c r="H202" s="7">
        <f t="shared" si="17"/>
        <v>0.72727272727272729</v>
      </c>
      <c r="I202" s="7">
        <f t="shared" si="17"/>
        <v>0.7142857142857143</v>
      </c>
      <c r="J202" s="7">
        <f t="shared" si="17"/>
        <v>0.72727272727272729</v>
      </c>
      <c r="K202" s="7">
        <f t="shared" si="17"/>
        <v>0.5</v>
      </c>
      <c r="L202" s="7">
        <f t="shared" si="17"/>
        <v>0.6</v>
      </c>
      <c r="M202" s="7" t="str">
        <f t="shared" si="17"/>
        <v/>
      </c>
      <c r="N202" s="7">
        <f t="shared" si="17"/>
        <v>0.25</v>
      </c>
      <c r="O202" s="7">
        <f t="shared" si="17"/>
        <v>0.5</v>
      </c>
      <c r="P202" s="7">
        <f t="shared" si="17"/>
        <v>0.91666666666666663</v>
      </c>
      <c r="Q202" s="7" t="str">
        <f t="shared" si="17"/>
        <v/>
      </c>
    </row>
    <row r="203" spans="1:17" x14ac:dyDescent="0.25">
      <c r="A203" s="1" t="s">
        <v>24</v>
      </c>
      <c r="B203" s="7">
        <f t="shared" ref="B203:Q203" si="18">IF(B183=0,"",B163/B183)</f>
        <v>0.5714285714285714</v>
      </c>
      <c r="C203" s="7" t="str">
        <f t="shared" si="18"/>
        <v/>
      </c>
      <c r="D203" s="7">
        <f t="shared" si="18"/>
        <v>0.5</v>
      </c>
      <c r="E203" s="7">
        <f t="shared" si="18"/>
        <v>0.77777777777777779</v>
      </c>
      <c r="F203" s="7">
        <f t="shared" si="18"/>
        <v>0.81818181818181823</v>
      </c>
      <c r="G203" s="7">
        <f t="shared" si="18"/>
        <v>0.7</v>
      </c>
      <c r="H203" s="7">
        <f t="shared" si="18"/>
        <v>0.61538461538461542</v>
      </c>
      <c r="I203" s="7">
        <f t="shared" si="18"/>
        <v>0.33333333333333331</v>
      </c>
      <c r="J203" s="7">
        <f t="shared" si="18"/>
        <v>0.5</v>
      </c>
      <c r="K203" s="7">
        <f t="shared" si="18"/>
        <v>0.5</v>
      </c>
      <c r="L203" s="7">
        <f t="shared" si="18"/>
        <v>0</v>
      </c>
      <c r="M203" s="7">
        <f t="shared" si="18"/>
        <v>0.75</v>
      </c>
      <c r="N203" s="7" t="str">
        <f t="shared" si="18"/>
        <v/>
      </c>
      <c r="O203" s="7" t="str">
        <f t="shared" si="18"/>
        <v/>
      </c>
      <c r="P203" s="7">
        <f t="shared" si="18"/>
        <v>1</v>
      </c>
      <c r="Q203" s="7">
        <f t="shared" si="18"/>
        <v>0</v>
      </c>
    </row>
    <row r="204" spans="1:17" x14ac:dyDescent="0.25">
      <c r="A204" s="1" t="s">
        <v>26</v>
      </c>
      <c r="B204" s="7">
        <f t="shared" ref="B204:Q204" si="19">IF(B184=0,"",B164/B184)</f>
        <v>0.25</v>
      </c>
      <c r="C204" s="7" t="str">
        <f t="shared" si="19"/>
        <v/>
      </c>
      <c r="D204" s="7">
        <f t="shared" si="19"/>
        <v>0.33333333333333331</v>
      </c>
      <c r="E204" s="7">
        <f t="shared" si="19"/>
        <v>0.8</v>
      </c>
      <c r="F204" s="7">
        <f t="shared" si="19"/>
        <v>0.8</v>
      </c>
      <c r="G204" s="7">
        <f t="shared" si="19"/>
        <v>0.5</v>
      </c>
      <c r="H204" s="7">
        <f t="shared" si="19"/>
        <v>0.6</v>
      </c>
      <c r="I204" s="7">
        <f t="shared" si="19"/>
        <v>1</v>
      </c>
      <c r="J204" s="7">
        <f t="shared" si="19"/>
        <v>0.4</v>
      </c>
      <c r="K204" s="7" t="str">
        <f t="shared" si="19"/>
        <v/>
      </c>
      <c r="L204" s="7">
        <f t="shared" si="19"/>
        <v>0</v>
      </c>
      <c r="M204" s="7">
        <f t="shared" si="19"/>
        <v>0.5</v>
      </c>
      <c r="N204" s="7" t="str">
        <f t="shared" si="19"/>
        <v/>
      </c>
      <c r="O204" s="7" t="str">
        <f t="shared" si="19"/>
        <v/>
      </c>
      <c r="P204" s="7">
        <f t="shared" si="19"/>
        <v>1</v>
      </c>
      <c r="Q204" s="7" t="str">
        <f t="shared" si="19"/>
        <v/>
      </c>
    </row>
    <row r="205" spans="1:17" x14ac:dyDescent="0.25">
      <c r="A205" s="1" t="s">
        <v>7</v>
      </c>
      <c r="B205" s="7">
        <f t="shared" ref="B205:Q205" si="20">IF(B185=0,"",B165/B185)</f>
        <v>0.33333333333333331</v>
      </c>
      <c r="C205" s="7">
        <f t="shared" si="20"/>
        <v>0.33333333333333331</v>
      </c>
      <c r="D205" s="7">
        <f t="shared" si="20"/>
        <v>0.14285714285714285</v>
      </c>
      <c r="E205" s="7">
        <f t="shared" si="20"/>
        <v>0.2</v>
      </c>
      <c r="F205" s="7">
        <f t="shared" si="20"/>
        <v>0.26666666666666666</v>
      </c>
      <c r="G205" s="7">
        <f t="shared" si="20"/>
        <v>0.23076923076923078</v>
      </c>
      <c r="H205" s="7">
        <f t="shared" si="20"/>
        <v>0.29411764705882354</v>
      </c>
      <c r="I205" s="7">
        <f t="shared" si="20"/>
        <v>0.23076923076923078</v>
      </c>
      <c r="J205" s="7">
        <f t="shared" si="20"/>
        <v>0.18181818181818182</v>
      </c>
      <c r="K205" s="7">
        <f t="shared" si="20"/>
        <v>0.2857142857142857</v>
      </c>
      <c r="L205" s="7">
        <f t="shared" si="20"/>
        <v>0.2857142857142857</v>
      </c>
      <c r="M205" s="7">
        <f t="shared" si="20"/>
        <v>8.3333333333333329E-2</v>
      </c>
      <c r="N205" s="7">
        <f t="shared" si="20"/>
        <v>0</v>
      </c>
      <c r="O205" s="7">
        <f t="shared" si="20"/>
        <v>0</v>
      </c>
      <c r="P205" s="7" t="str">
        <f t="shared" si="20"/>
        <v/>
      </c>
      <c r="Q205" s="7">
        <f t="shared" si="20"/>
        <v>0</v>
      </c>
    </row>
    <row r="206" spans="1:17" x14ac:dyDescent="0.25">
      <c r="A206" s="1" t="s">
        <v>10</v>
      </c>
      <c r="B206" s="7">
        <f t="shared" ref="B206:Q206" si="21">IF(B186=0,"",B166/B186)</f>
        <v>1</v>
      </c>
      <c r="C206" s="7" t="str">
        <f t="shared" si="21"/>
        <v/>
      </c>
      <c r="D206" s="7" t="str">
        <f t="shared" si="21"/>
        <v/>
      </c>
      <c r="E206" s="7">
        <f t="shared" si="21"/>
        <v>1</v>
      </c>
      <c r="F206" s="7">
        <f t="shared" si="21"/>
        <v>1</v>
      </c>
      <c r="G206" s="7">
        <f t="shared" si="21"/>
        <v>1</v>
      </c>
      <c r="H206" s="7">
        <f t="shared" si="21"/>
        <v>1</v>
      </c>
      <c r="I206" s="7" t="str">
        <f t="shared" si="21"/>
        <v/>
      </c>
      <c r="J206" s="7" t="str">
        <f t="shared" si="21"/>
        <v/>
      </c>
      <c r="K206" s="7" t="str">
        <f t="shared" si="21"/>
        <v/>
      </c>
      <c r="L206" s="7" t="str">
        <f t="shared" si="21"/>
        <v/>
      </c>
      <c r="M206" s="7" t="str">
        <f t="shared" si="21"/>
        <v/>
      </c>
      <c r="N206" s="7">
        <f t="shared" si="21"/>
        <v>1</v>
      </c>
      <c r="O206" s="7" t="str">
        <f t="shared" si="21"/>
        <v/>
      </c>
      <c r="P206" s="7">
        <f t="shared" si="21"/>
        <v>1</v>
      </c>
      <c r="Q206" s="7" t="str">
        <f t="shared" si="21"/>
        <v/>
      </c>
    </row>
    <row r="207" spans="1:17" x14ac:dyDescent="0.25">
      <c r="B207" s="7"/>
      <c r="C207" s="7"/>
      <c r="D207" s="7"/>
      <c r="E207" s="7"/>
      <c r="F207" s="7"/>
      <c r="G207" s="7"/>
      <c r="H207" s="7"/>
      <c r="I207" s="7"/>
      <c r="J207" s="7"/>
      <c r="K207" s="7"/>
      <c r="L207" s="7"/>
      <c r="M207" s="7"/>
      <c r="N207" s="7"/>
      <c r="O207" s="7"/>
      <c r="P207" s="7"/>
      <c r="Q207" s="7"/>
    </row>
    <row r="209" spans="1:17" x14ac:dyDescent="0.25">
      <c r="A209" s="3" t="s">
        <v>155</v>
      </c>
    </row>
    <row r="210" spans="1:17" x14ac:dyDescent="0.25">
      <c r="B210" s="1" t="s">
        <v>3</v>
      </c>
      <c r="C210" s="1" t="s">
        <v>18</v>
      </c>
      <c r="D210" s="1" t="s">
        <v>16</v>
      </c>
      <c r="E210" s="1" t="s">
        <v>22</v>
      </c>
      <c r="F210" s="1" t="s">
        <v>4</v>
      </c>
      <c r="G210" s="1" t="s">
        <v>6</v>
      </c>
      <c r="H210" s="1" t="s">
        <v>5</v>
      </c>
      <c r="I210" s="1" t="s">
        <v>8</v>
      </c>
      <c r="J210" s="1" t="s">
        <v>12</v>
      </c>
      <c r="K210" s="2" t="s">
        <v>23</v>
      </c>
      <c r="L210" s="2" t="s">
        <v>11</v>
      </c>
      <c r="M210" s="1" t="s">
        <v>9</v>
      </c>
      <c r="N210" s="1" t="s">
        <v>24</v>
      </c>
      <c r="O210" s="1" t="s">
        <v>26</v>
      </c>
      <c r="P210" s="1" t="s">
        <v>7</v>
      </c>
      <c r="Q210" s="1" t="s">
        <v>10</v>
      </c>
    </row>
    <row r="211" spans="1:17" x14ac:dyDescent="0.25">
      <c r="A211" s="1" t="s">
        <v>3</v>
      </c>
      <c r="B211" s="1" t="str">
        <f>IF(B171=0,"",CONCATENATE(B151,"/",B171))</f>
        <v/>
      </c>
      <c r="C211" s="1" t="str">
        <f t="shared" ref="C211:Q211" si="22">IF(C171=0,"",CONCATENATE(C151,"/",C171))</f>
        <v>0/4</v>
      </c>
      <c r="D211" s="1" t="str">
        <f t="shared" si="22"/>
        <v>6/14</v>
      </c>
      <c r="E211" s="1" t="str">
        <f t="shared" si="22"/>
        <v>6/15</v>
      </c>
      <c r="F211" s="1" t="str">
        <f t="shared" si="22"/>
        <v>10/20</v>
      </c>
      <c r="G211" s="1" t="str">
        <f t="shared" si="22"/>
        <v>8/16</v>
      </c>
      <c r="H211" s="1" t="str">
        <f t="shared" si="22"/>
        <v>10/24</v>
      </c>
      <c r="I211" s="1" t="str">
        <f t="shared" si="22"/>
        <v>8/20</v>
      </c>
      <c r="J211" s="1" t="str">
        <f t="shared" si="22"/>
        <v>4/12</v>
      </c>
      <c r="K211" s="1" t="str">
        <f t="shared" si="22"/>
        <v>5/14</v>
      </c>
      <c r="L211" s="1" t="str">
        <f t="shared" si="22"/>
        <v>2/7</v>
      </c>
      <c r="M211" s="1" t="str">
        <f t="shared" si="22"/>
        <v>5/14</v>
      </c>
      <c r="N211" s="1" t="str">
        <f t="shared" si="22"/>
        <v>6/14</v>
      </c>
      <c r="O211" s="1" t="str">
        <f t="shared" si="22"/>
        <v>3/4</v>
      </c>
      <c r="P211" s="1" t="str">
        <f t="shared" si="22"/>
        <v>4/6</v>
      </c>
      <c r="Q211" s="1" t="str">
        <f t="shared" si="22"/>
        <v>0/3</v>
      </c>
    </row>
    <row r="212" spans="1:17" x14ac:dyDescent="0.25">
      <c r="A212" s="1" t="s">
        <v>18</v>
      </c>
      <c r="B212" s="1" t="str">
        <f t="shared" ref="B212:Q226" si="23">IF(B172=0,"",CONCATENATE(B152,"/",B172))</f>
        <v>4/4</v>
      </c>
      <c r="C212" s="1" t="str">
        <f t="shared" si="23"/>
        <v/>
      </c>
      <c r="D212" s="1" t="str">
        <f t="shared" si="23"/>
        <v>5/7</v>
      </c>
      <c r="E212" s="1" t="str">
        <f t="shared" si="23"/>
        <v>0/2</v>
      </c>
      <c r="F212" s="1" t="str">
        <f t="shared" si="23"/>
        <v>5/7</v>
      </c>
      <c r="G212" s="1" t="str">
        <f t="shared" si="23"/>
        <v>2/4</v>
      </c>
      <c r="H212" s="1" t="str">
        <f t="shared" si="23"/>
        <v>3/5</v>
      </c>
      <c r="I212" s="1" t="str">
        <f t="shared" si="23"/>
        <v>2/3</v>
      </c>
      <c r="J212" s="1" t="str">
        <f t="shared" si="23"/>
        <v>3/4</v>
      </c>
      <c r="K212" s="1" t="str">
        <f t="shared" si="23"/>
        <v>2/3</v>
      </c>
      <c r="L212" s="1" t="str">
        <f t="shared" si="23"/>
        <v>1/1</v>
      </c>
      <c r="M212" s="1" t="str">
        <f t="shared" si="23"/>
        <v/>
      </c>
      <c r="N212" s="1" t="str">
        <f t="shared" si="23"/>
        <v/>
      </c>
      <c r="O212" s="1" t="str">
        <f t="shared" si="23"/>
        <v/>
      </c>
      <c r="P212" s="1" t="str">
        <f t="shared" si="23"/>
        <v>2/3</v>
      </c>
      <c r="Q212" s="1" t="str">
        <f t="shared" si="23"/>
        <v/>
      </c>
    </row>
    <row r="213" spans="1:17" x14ac:dyDescent="0.25">
      <c r="A213" s="1" t="s">
        <v>16</v>
      </c>
      <c r="B213" s="1" t="str">
        <f t="shared" si="23"/>
        <v>8/14</v>
      </c>
      <c r="C213" s="1" t="str">
        <f t="shared" si="23"/>
        <v>2/7</v>
      </c>
      <c r="D213" s="1" t="str">
        <f t="shared" si="23"/>
        <v/>
      </c>
      <c r="E213" s="1" t="str">
        <f t="shared" si="23"/>
        <v>9/15</v>
      </c>
      <c r="F213" s="1" t="str">
        <f t="shared" si="23"/>
        <v>10/14</v>
      </c>
      <c r="G213" s="1" t="str">
        <f t="shared" si="23"/>
        <v>10/18</v>
      </c>
      <c r="H213" s="1" t="str">
        <f t="shared" si="23"/>
        <v>9/15</v>
      </c>
      <c r="I213" s="1" t="str">
        <f t="shared" si="23"/>
        <v>5/9</v>
      </c>
      <c r="J213" s="1" t="str">
        <f t="shared" si="23"/>
        <v>14/22</v>
      </c>
      <c r="K213" s="1" t="str">
        <f t="shared" si="23"/>
        <v>6/12</v>
      </c>
      <c r="L213" s="1" t="str">
        <f t="shared" si="23"/>
        <v>3/6</v>
      </c>
      <c r="M213" s="1" t="str">
        <f t="shared" si="23"/>
        <v>6/12</v>
      </c>
      <c r="N213" s="1" t="str">
        <f t="shared" si="23"/>
        <v>3/6</v>
      </c>
      <c r="O213" s="1" t="str">
        <f t="shared" si="23"/>
        <v>2/3</v>
      </c>
      <c r="P213" s="1" t="str">
        <f t="shared" si="23"/>
        <v>6/7</v>
      </c>
      <c r="Q213" s="1" t="str">
        <f t="shared" si="23"/>
        <v/>
      </c>
    </row>
    <row r="214" spans="1:17" x14ac:dyDescent="0.25">
      <c r="A214" s="1" t="s">
        <v>22</v>
      </c>
      <c r="B214" s="1" t="str">
        <f t="shared" si="23"/>
        <v>9/15</v>
      </c>
      <c r="C214" s="1" t="str">
        <f t="shared" si="23"/>
        <v>2/2</v>
      </c>
      <c r="D214" s="1" t="str">
        <f t="shared" si="23"/>
        <v>6/15</v>
      </c>
      <c r="E214" s="1" t="str">
        <f t="shared" si="23"/>
        <v/>
      </c>
      <c r="F214" s="1" t="str">
        <f t="shared" si="23"/>
        <v>11/14</v>
      </c>
      <c r="G214" s="1" t="str">
        <f t="shared" si="23"/>
        <v>7/12</v>
      </c>
      <c r="H214" s="1" t="str">
        <f t="shared" si="23"/>
        <v>10/16</v>
      </c>
      <c r="I214" s="1" t="str">
        <f t="shared" si="23"/>
        <v>7/16</v>
      </c>
      <c r="J214" s="1" t="str">
        <f t="shared" si="23"/>
        <v>10/19</v>
      </c>
      <c r="K214" s="1" t="str">
        <f t="shared" si="23"/>
        <v>6/11</v>
      </c>
      <c r="L214" s="1" t="str">
        <f t="shared" si="23"/>
        <v>5/8</v>
      </c>
      <c r="M214" s="1" t="str">
        <f t="shared" si="23"/>
        <v>4/6</v>
      </c>
      <c r="N214" s="1" t="str">
        <f t="shared" si="23"/>
        <v>2/9</v>
      </c>
      <c r="O214" s="1" t="str">
        <f t="shared" si="23"/>
        <v>1/5</v>
      </c>
      <c r="P214" s="1" t="str">
        <f t="shared" si="23"/>
        <v>8/10</v>
      </c>
      <c r="Q214" s="1" t="str">
        <f t="shared" si="23"/>
        <v>0/2</v>
      </c>
    </row>
    <row r="215" spans="1:17" x14ac:dyDescent="0.25">
      <c r="A215" s="1" t="s">
        <v>4</v>
      </c>
      <c r="B215" s="1" t="str">
        <f t="shared" si="23"/>
        <v>10/20</v>
      </c>
      <c r="C215" s="1" t="str">
        <f t="shared" si="23"/>
        <v>2/7</v>
      </c>
      <c r="D215" s="1" t="str">
        <f t="shared" si="23"/>
        <v>4/14</v>
      </c>
      <c r="E215" s="1" t="str">
        <f t="shared" si="23"/>
        <v>3/14</v>
      </c>
      <c r="F215" s="1" t="str">
        <f t="shared" si="23"/>
        <v/>
      </c>
      <c r="G215" s="1" t="str">
        <f t="shared" si="23"/>
        <v>8/17</v>
      </c>
      <c r="H215" s="1" t="str">
        <f t="shared" si="23"/>
        <v>8/17</v>
      </c>
      <c r="I215" s="1" t="str">
        <f t="shared" si="23"/>
        <v>6/18</v>
      </c>
      <c r="J215" s="1" t="str">
        <f t="shared" si="23"/>
        <v>12/30</v>
      </c>
      <c r="K215" s="1" t="str">
        <f t="shared" si="23"/>
        <v>5/14</v>
      </c>
      <c r="L215" s="1" t="str">
        <f t="shared" si="23"/>
        <v>7/14</v>
      </c>
      <c r="M215" s="1" t="str">
        <f t="shared" si="23"/>
        <v>3/9</v>
      </c>
      <c r="N215" s="1" t="str">
        <f t="shared" si="23"/>
        <v>2/11</v>
      </c>
      <c r="O215" s="1" t="str">
        <f t="shared" si="23"/>
        <v>1/5</v>
      </c>
      <c r="P215" s="1" t="str">
        <f t="shared" si="23"/>
        <v>11/15</v>
      </c>
      <c r="Q215" s="1" t="str">
        <f t="shared" si="23"/>
        <v>0/4</v>
      </c>
    </row>
    <row r="216" spans="1:17" x14ac:dyDescent="0.25">
      <c r="A216" s="1" t="s">
        <v>6</v>
      </c>
      <c r="B216" s="1" t="str">
        <f t="shared" si="23"/>
        <v>8/16</v>
      </c>
      <c r="C216" s="1" t="str">
        <f t="shared" si="23"/>
        <v>2/4</v>
      </c>
      <c r="D216" s="1" t="str">
        <f t="shared" si="23"/>
        <v>8/18</v>
      </c>
      <c r="E216" s="1" t="str">
        <f t="shared" si="23"/>
        <v>5/12</v>
      </c>
      <c r="F216" s="1" t="str">
        <f t="shared" si="23"/>
        <v>9/17</v>
      </c>
      <c r="G216" s="1" t="str">
        <f t="shared" si="23"/>
        <v/>
      </c>
      <c r="H216" s="1" t="str">
        <f t="shared" si="23"/>
        <v>5/11</v>
      </c>
      <c r="I216" s="1" t="str">
        <f t="shared" si="23"/>
        <v>4/14</v>
      </c>
      <c r="J216" s="1" t="str">
        <f t="shared" si="23"/>
        <v>9/20</v>
      </c>
      <c r="K216" s="1" t="str">
        <f t="shared" si="23"/>
        <v>3/8</v>
      </c>
      <c r="L216" s="1" t="str">
        <f t="shared" si="23"/>
        <v>7/14</v>
      </c>
      <c r="M216" s="1" t="str">
        <f t="shared" si="23"/>
        <v>3/8</v>
      </c>
      <c r="N216" s="1" t="str">
        <f t="shared" si="23"/>
        <v>3/10</v>
      </c>
      <c r="O216" s="1" t="str">
        <f t="shared" si="23"/>
        <v>1/2</v>
      </c>
      <c r="P216" s="1" t="str">
        <f t="shared" si="23"/>
        <v>10/13</v>
      </c>
      <c r="Q216" s="1" t="str">
        <f t="shared" si="23"/>
        <v>0/4</v>
      </c>
    </row>
    <row r="217" spans="1:17" x14ac:dyDescent="0.25">
      <c r="A217" s="1" t="s">
        <v>5</v>
      </c>
      <c r="B217" s="1" t="str">
        <f t="shared" si="23"/>
        <v>14/24</v>
      </c>
      <c r="C217" s="1" t="str">
        <f t="shared" si="23"/>
        <v>2/5</v>
      </c>
      <c r="D217" s="1" t="str">
        <f t="shared" si="23"/>
        <v>6/15</v>
      </c>
      <c r="E217" s="1" t="str">
        <f t="shared" si="23"/>
        <v>6/16</v>
      </c>
      <c r="F217" s="1" t="str">
        <f t="shared" si="23"/>
        <v>9/17</v>
      </c>
      <c r="G217" s="1" t="str">
        <f t="shared" si="23"/>
        <v>6/11</v>
      </c>
      <c r="H217" s="1" t="str">
        <f t="shared" si="23"/>
        <v/>
      </c>
      <c r="I217" s="1" t="str">
        <f t="shared" si="23"/>
        <v>7/16</v>
      </c>
      <c r="J217" s="1" t="str">
        <f t="shared" si="23"/>
        <v>12/26</v>
      </c>
      <c r="K217" s="1" t="str">
        <f t="shared" si="23"/>
        <v>4/11</v>
      </c>
      <c r="L217" s="1" t="str">
        <f t="shared" si="23"/>
        <v>7/14</v>
      </c>
      <c r="M217" s="1" t="str">
        <f t="shared" si="23"/>
        <v>3/11</v>
      </c>
      <c r="N217" s="1" t="str">
        <f t="shared" si="23"/>
        <v>5/13</v>
      </c>
      <c r="O217" s="1" t="str">
        <f t="shared" si="23"/>
        <v>2/5</v>
      </c>
      <c r="P217" s="1" t="str">
        <f t="shared" si="23"/>
        <v>12/17</v>
      </c>
      <c r="Q217" s="1" t="str">
        <f t="shared" si="23"/>
        <v>0/4</v>
      </c>
    </row>
    <row r="218" spans="1:17" x14ac:dyDescent="0.25">
      <c r="A218" s="1" t="s">
        <v>8</v>
      </c>
      <c r="B218" s="1" t="str">
        <f t="shared" si="23"/>
        <v>12/20</v>
      </c>
      <c r="C218" s="1" t="str">
        <f t="shared" si="23"/>
        <v>1/3</v>
      </c>
      <c r="D218" s="1" t="str">
        <f t="shared" si="23"/>
        <v>4/9</v>
      </c>
      <c r="E218" s="1" t="str">
        <f t="shared" si="23"/>
        <v>9/16</v>
      </c>
      <c r="F218" s="1" t="str">
        <f t="shared" si="23"/>
        <v>12/18</v>
      </c>
      <c r="G218" s="1" t="str">
        <f t="shared" si="23"/>
        <v>10/14</v>
      </c>
      <c r="H218" s="1" t="str">
        <f t="shared" si="23"/>
        <v>9/16</v>
      </c>
      <c r="I218" s="1" t="str">
        <f t="shared" si="23"/>
        <v/>
      </c>
      <c r="J218" s="1" t="str">
        <f t="shared" si="23"/>
        <v>5/12</v>
      </c>
      <c r="K218" s="1" t="str">
        <f t="shared" si="23"/>
        <v>1/5</v>
      </c>
      <c r="L218" s="1" t="str">
        <f t="shared" si="23"/>
        <v>2/4</v>
      </c>
      <c r="M218" s="1" t="str">
        <f t="shared" si="23"/>
        <v>2/7</v>
      </c>
      <c r="N218" s="1" t="str">
        <f t="shared" si="23"/>
        <v>2/3</v>
      </c>
      <c r="O218" s="1" t="str">
        <f t="shared" si="23"/>
        <v>0/1</v>
      </c>
      <c r="P218" s="1" t="str">
        <f t="shared" si="23"/>
        <v>10/13</v>
      </c>
      <c r="Q218" s="1" t="str">
        <f t="shared" si="23"/>
        <v/>
      </c>
    </row>
    <row r="219" spans="1:17" x14ac:dyDescent="0.25">
      <c r="A219" s="1" t="s">
        <v>12</v>
      </c>
      <c r="B219" s="1" t="str">
        <f t="shared" si="23"/>
        <v>8/12</v>
      </c>
      <c r="C219" s="1" t="str">
        <f t="shared" si="23"/>
        <v>1/4</v>
      </c>
      <c r="D219" s="1" t="str">
        <f t="shared" si="23"/>
        <v>8/22</v>
      </c>
      <c r="E219" s="1" t="str">
        <f t="shared" si="23"/>
        <v>9/19</v>
      </c>
      <c r="F219" s="1" t="str">
        <f t="shared" si="23"/>
        <v>18/30</v>
      </c>
      <c r="G219" s="1" t="str">
        <f t="shared" si="23"/>
        <v>11/20</v>
      </c>
      <c r="H219" s="1" t="str">
        <f t="shared" si="23"/>
        <v>14/26</v>
      </c>
      <c r="I219" s="1" t="str">
        <f t="shared" si="23"/>
        <v>7/12</v>
      </c>
      <c r="J219" s="1" t="str">
        <f t="shared" si="23"/>
        <v/>
      </c>
      <c r="K219" s="1" t="str">
        <f t="shared" si="23"/>
        <v>7/16</v>
      </c>
      <c r="L219" s="1" t="str">
        <f t="shared" si="23"/>
        <v>3/7</v>
      </c>
      <c r="M219" s="1" t="str">
        <f t="shared" si="23"/>
        <v>3/11</v>
      </c>
      <c r="N219" s="1" t="str">
        <f t="shared" si="23"/>
        <v>6/12</v>
      </c>
      <c r="O219" s="1" t="str">
        <f t="shared" si="23"/>
        <v>3/5</v>
      </c>
      <c r="P219" s="1" t="str">
        <f t="shared" si="23"/>
        <v>9/11</v>
      </c>
      <c r="Q219" s="1" t="str">
        <f t="shared" si="23"/>
        <v/>
      </c>
    </row>
    <row r="220" spans="1:17" x14ac:dyDescent="0.25">
      <c r="A220" s="2" t="s">
        <v>23</v>
      </c>
      <c r="B220" s="1" t="str">
        <f t="shared" si="23"/>
        <v>9/14</v>
      </c>
      <c r="C220" s="1" t="str">
        <f t="shared" si="23"/>
        <v>1/3</v>
      </c>
      <c r="D220" s="1" t="str">
        <f t="shared" si="23"/>
        <v>6/12</v>
      </c>
      <c r="E220" s="1" t="str">
        <f t="shared" si="23"/>
        <v>5/11</v>
      </c>
      <c r="F220" s="1" t="str">
        <f t="shared" si="23"/>
        <v>9/14</v>
      </c>
      <c r="G220" s="1" t="str">
        <f t="shared" si="23"/>
        <v>5/8</v>
      </c>
      <c r="H220" s="1" t="str">
        <f t="shared" si="23"/>
        <v>7/11</v>
      </c>
      <c r="I220" s="1" t="str">
        <f t="shared" si="23"/>
        <v>4/5</v>
      </c>
      <c r="J220" s="1" t="str">
        <f t="shared" si="23"/>
        <v>9/16</v>
      </c>
      <c r="K220" s="1" t="str">
        <f t="shared" si="23"/>
        <v/>
      </c>
      <c r="L220" s="1" t="str">
        <f t="shared" si="23"/>
        <v>4/7</v>
      </c>
      <c r="M220" s="1" t="str">
        <f t="shared" si="23"/>
        <v>3/6</v>
      </c>
      <c r="N220" s="1" t="str">
        <f t="shared" si="23"/>
        <v>1/2</v>
      </c>
      <c r="O220" s="1" t="str">
        <f t="shared" si="23"/>
        <v/>
      </c>
      <c r="P220" s="1" t="str">
        <f t="shared" si="23"/>
        <v>10/14</v>
      </c>
      <c r="Q220" s="1" t="str">
        <f t="shared" si="23"/>
        <v/>
      </c>
    </row>
    <row r="221" spans="1:17" x14ac:dyDescent="0.25">
      <c r="A221" s="2" t="s">
        <v>11</v>
      </c>
      <c r="B221" s="1" t="str">
        <f t="shared" si="23"/>
        <v>5/7</v>
      </c>
      <c r="C221" s="1" t="str">
        <f t="shared" si="23"/>
        <v>0/1</v>
      </c>
      <c r="D221" s="1" t="str">
        <f t="shared" si="23"/>
        <v>3/6</v>
      </c>
      <c r="E221" s="1" t="str">
        <f t="shared" si="23"/>
        <v>3/8</v>
      </c>
      <c r="F221" s="1" t="str">
        <f t="shared" si="23"/>
        <v>7/14</v>
      </c>
      <c r="G221" s="1" t="str">
        <f t="shared" si="23"/>
        <v>7/14</v>
      </c>
      <c r="H221" s="1" t="str">
        <f t="shared" si="23"/>
        <v>7/14</v>
      </c>
      <c r="I221" s="1" t="str">
        <f t="shared" si="23"/>
        <v>2/4</v>
      </c>
      <c r="J221" s="1" t="str">
        <f t="shared" si="23"/>
        <v>4/7</v>
      </c>
      <c r="K221" s="1" t="str">
        <f t="shared" si="23"/>
        <v>3/7</v>
      </c>
      <c r="L221" s="1" t="str">
        <f t="shared" si="23"/>
        <v/>
      </c>
      <c r="M221" s="1" t="str">
        <f t="shared" si="23"/>
        <v>2/5</v>
      </c>
      <c r="N221" s="1" t="str">
        <f t="shared" si="23"/>
        <v>1/1</v>
      </c>
      <c r="O221" s="1" t="str">
        <f t="shared" si="23"/>
        <v>1/1</v>
      </c>
      <c r="P221" s="1" t="str">
        <f t="shared" si="23"/>
        <v>5/7</v>
      </c>
      <c r="Q221" s="1" t="str">
        <f t="shared" si="23"/>
        <v/>
      </c>
    </row>
    <row r="222" spans="1:17" x14ac:dyDescent="0.25">
      <c r="A222" s="1" t="s">
        <v>9</v>
      </c>
      <c r="B222" s="1" t="str">
        <f t="shared" si="23"/>
        <v>9/14</v>
      </c>
      <c r="C222" s="1" t="str">
        <f t="shared" si="23"/>
        <v/>
      </c>
      <c r="D222" s="1" t="str">
        <f t="shared" si="23"/>
        <v>6/12</v>
      </c>
      <c r="E222" s="1" t="str">
        <f t="shared" si="23"/>
        <v>2/6</v>
      </c>
      <c r="F222" s="1" t="str">
        <f t="shared" si="23"/>
        <v>6/9</v>
      </c>
      <c r="G222" s="1" t="str">
        <f t="shared" si="23"/>
        <v>5/8</v>
      </c>
      <c r="H222" s="1" t="str">
        <f t="shared" si="23"/>
        <v>8/11</v>
      </c>
      <c r="I222" s="1" t="str">
        <f t="shared" si="23"/>
        <v>5/7</v>
      </c>
      <c r="J222" s="1" t="str">
        <f t="shared" si="23"/>
        <v>8/11</v>
      </c>
      <c r="K222" s="1" t="str">
        <f t="shared" si="23"/>
        <v>3/6</v>
      </c>
      <c r="L222" s="1" t="str">
        <f t="shared" si="23"/>
        <v>3/5</v>
      </c>
      <c r="M222" s="1" t="str">
        <f t="shared" si="23"/>
        <v/>
      </c>
      <c r="N222" s="1" t="str">
        <f t="shared" si="23"/>
        <v>1/4</v>
      </c>
      <c r="O222" s="1" t="str">
        <f t="shared" si="23"/>
        <v>1/2</v>
      </c>
      <c r="P222" s="1" t="str">
        <f t="shared" si="23"/>
        <v>11/12</v>
      </c>
      <c r="Q222" s="1" t="str">
        <f t="shared" si="23"/>
        <v/>
      </c>
    </row>
    <row r="223" spans="1:17" x14ac:dyDescent="0.25">
      <c r="A223" s="1" t="s">
        <v>24</v>
      </c>
      <c r="B223" s="1" t="str">
        <f t="shared" si="23"/>
        <v>8/14</v>
      </c>
      <c r="C223" s="1" t="str">
        <f t="shared" si="23"/>
        <v/>
      </c>
      <c r="D223" s="1" t="str">
        <f t="shared" si="23"/>
        <v>3/6</v>
      </c>
      <c r="E223" s="1" t="str">
        <f t="shared" si="23"/>
        <v>7/9</v>
      </c>
      <c r="F223" s="1" t="str">
        <f t="shared" si="23"/>
        <v>9/11</v>
      </c>
      <c r="G223" s="1" t="str">
        <f t="shared" si="23"/>
        <v>7/10</v>
      </c>
      <c r="H223" s="1" t="str">
        <f t="shared" si="23"/>
        <v>8/13</v>
      </c>
      <c r="I223" s="1" t="str">
        <f t="shared" si="23"/>
        <v>1/3</v>
      </c>
      <c r="J223" s="1" t="str">
        <f t="shared" si="23"/>
        <v>6/12</v>
      </c>
      <c r="K223" s="1" t="str">
        <f t="shared" si="23"/>
        <v>1/2</v>
      </c>
      <c r="L223" s="1" t="str">
        <f t="shared" si="23"/>
        <v>0/1</v>
      </c>
      <c r="M223" s="1" t="str">
        <f t="shared" si="23"/>
        <v>3/4</v>
      </c>
      <c r="N223" s="1" t="str">
        <f t="shared" si="23"/>
        <v/>
      </c>
      <c r="O223" s="1" t="str">
        <f t="shared" si="23"/>
        <v/>
      </c>
      <c r="P223" s="1" t="str">
        <f t="shared" si="23"/>
        <v>6/6</v>
      </c>
      <c r="Q223" s="1" t="str">
        <f t="shared" si="23"/>
        <v>0/1</v>
      </c>
    </row>
    <row r="224" spans="1:17" x14ac:dyDescent="0.25">
      <c r="A224" s="1" t="s">
        <v>26</v>
      </c>
      <c r="B224" s="1" t="str">
        <f t="shared" si="23"/>
        <v>1/4</v>
      </c>
      <c r="C224" s="1" t="str">
        <f t="shared" si="23"/>
        <v/>
      </c>
      <c r="D224" s="1" t="str">
        <f t="shared" si="23"/>
        <v>1/3</v>
      </c>
      <c r="E224" s="1" t="str">
        <f t="shared" si="23"/>
        <v>4/5</v>
      </c>
      <c r="F224" s="1" t="str">
        <f t="shared" si="23"/>
        <v>4/5</v>
      </c>
      <c r="G224" s="1" t="str">
        <f t="shared" si="23"/>
        <v>1/2</v>
      </c>
      <c r="H224" s="1" t="str">
        <f t="shared" si="23"/>
        <v>3/5</v>
      </c>
      <c r="I224" s="1" t="str">
        <f t="shared" si="23"/>
        <v>1/1</v>
      </c>
      <c r="J224" s="1" t="str">
        <f t="shared" si="23"/>
        <v>2/5</v>
      </c>
      <c r="K224" s="1" t="str">
        <f t="shared" si="23"/>
        <v/>
      </c>
      <c r="L224" s="1" t="str">
        <f t="shared" si="23"/>
        <v>0/1</v>
      </c>
      <c r="M224" s="1" t="str">
        <f t="shared" si="23"/>
        <v>1/2</v>
      </c>
      <c r="N224" s="1" t="str">
        <f t="shared" si="23"/>
        <v/>
      </c>
      <c r="O224" s="1" t="str">
        <f t="shared" si="23"/>
        <v/>
      </c>
      <c r="P224" s="1" t="str">
        <f t="shared" si="23"/>
        <v>1/1</v>
      </c>
      <c r="Q224" s="1" t="str">
        <f t="shared" si="23"/>
        <v/>
      </c>
    </row>
    <row r="225" spans="1:17" x14ac:dyDescent="0.25">
      <c r="A225" s="1" t="s">
        <v>7</v>
      </c>
      <c r="B225" s="1" t="str">
        <f t="shared" si="23"/>
        <v>2/6</v>
      </c>
      <c r="C225" s="1" t="str">
        <f t="shared" si="23"/>
        <v>1/3</v>
      </c>
      <c r="D225" s="1" t="str">
        <f t="shared" si="23"/>
        <v>1/7</v>
      </c>
      <c r="E225" s="1" t="str">
        <f t="shared" si="23"/>
        <v>2/10</v>
      </c>
      <c r="F225" s="1" t="str">
        <f t="shared" si="23"/>
        <v>4/15</v>
      </c>
      <c r="G225" s="1" t="str">
        <f t="shared" si="23"/>
        <v>3/13</v>
      </c>
      <c r="H225" s="1" t="str">
        <f t="shared" si="23"/>
        <v>5/17</v>
      </c>
      <c r="I225" s="1" t="str">
        <f t="shared" si="23"/>
        <v>3/13</v>
      </c>
      <c r="J225" s="1" t="str">
        <f t="shared" si="23"/>
        <v>2/11</v>
      </c>
      <c r="K225" s="1" t="str">
        <f t="shared" si="23"/>
        <v>4/14</v>
      </c>
      <c r="L225" s="1" t="str">
        <f t="shared" si="23"/>
        <v>2/7</v>
      </c>
      <c r="M225" s="1" t="str">
        <f t="shared" si="23"/>
        <v>1/12</v>
      </c>
      <c r="N225" s="1" t="str">
        <f t="shared" si="23"/>
        <v>0/6</v>
      </c>
      <c r="O225" s="1" t="str">
        <f t="shared" si="23"/>
        <v>0/1</v>
      </c>
      <c r="P225" s="1" t="str">
        <f t="shared" si="23"/>
        <v/>
      </c>
      <c r="Q225" s="1" t="str">
        <f t="shared" si="23"/>
        <v>0/2</v>
      </c>
    </row>
    <row r="226" spans="1:17" x14ac:dyDescent="0.25">
      <c r="A226" s="1" t="s">
        <v>10</v>
      </c>
      <c r="B226" s="1" t="str">
        <f t="shared" si="23"/>
        <v>3/3</v>
      </c>
      <c r="C226" s="1" t="str">
        <f t="shared" si="23"/>
        <v/>
      </c>
      <c r="D226" s="1" t="str">
        <f t="shared" si="23"/>
        <v/>
      </c>
      <c r="E226" s="1" t="str">
        <f t="shared" si="23"/>
        <v>2/2</v>
      </c>
      <c r="F226" s="1" t="str">
        <f t="shared" si="23"/>
        <v>4/4</v>
      </c>
      <c r="G226" s="1" t="str">
        <f t="shared" si="23"/>
        <v>4/4</v>
      </c>
      <c r="H226" s="1" t="str">
        <f t="shared" si="23"/>
        <v>4/4</v>
      </c>
      <c r="I226" s="1" t="str">
        <f t="shared" si="23"/>
        <v/>
      </c>
      <c r="J226" s="1" t="str">
        <f t="shared" si="23"/>
        <v/>
      </c>
      <c r="K226" s="1" t="str">
        <f t="shared" si="23"/>
        <v/>
      </c>
      <c r="L226" s="1" t="str">
        <f t="shared" si="23"/>
        <v/>
      </c>
      <c r="M226" s="1" t="str">
        <f t="shared" si="23"/>
        <v/>
      </c>
      <c r="N226" s="1" t="str">
        <f t="shared" si="23"/>
        <v>1/1</v>
      </c>
      <c r="O226" s="1" t="str">
        <f t="shared" si="23"/>
        <v/>
      </c>
      <c r="P226" s="1" t="str">
        <f t="shared" si="23"/>
        <v>2/2</v>
      </c>
      <c r="Q226" s="1" t="str">
        <f t="shared" si="23"/>
        <v/>
      </c>
    </row>
    <row r="229" spans="1:17" x14ac:dyDescent="0.25">
      <c r="A229" s="3" t="s">
        <v>162</v>
      </c>
      <c r="D229" s="1" t="s">
        <v>164</v>
      </c>
      <c r="E229" s="10">
        <f ca="1">TODAY()</f>
        <v>44911</v>
      </c>
    </row>
    <row r="230" spans="1:17" s="11" customFormat="1" x14ac:dyDescent="0.25">
      <c r="B230" s="11">
        <v>44837</v>
      </c>
      <c r="C230" s="11">
        <v>44844</v>
      </c>
      <c r="D230" s="11">
        <v>44851</v>
      </c>
      <c r="E230" s="11">
        <v>44858</v>
      </c>
      <c r="F230" s="11">
        <v>44865</v>
      </c>
      <c r="G230" s="11">
        <v>44872</v>
      </c>
      <c r="H230" s="11">
        <v>44879</v>
      </c>
      <c r="I230" s="11">
        <v>44886</v>
      </c>
      <c r="J230" s="11">
        <v>44893</v>
      </c>
      <c r="K230" s="11">
        <v>44900</v>
      </c>
      <c r="L230" s="11">
        <v>44907</v>
      </c>
    </row>
    <row r="231" spans="1:17" s="7" customFormat="1" x14ac:dyDescent="0.25">
      <c r="A231" s="1" t="s">
        <v>3</v>
      </c>
      <c r="D231" s="7">
        <v>0.42857142857142855</v>
      </c>
      <c r="F231" s="7">
        <v>0</v>
      </c>
      <c r="G231" s="7">
        <v>0.4</v>
      </c>
      <c r="H231" s="7">
        <v>0.83333333333333337</v>
      </c>
      <c r="I231" s="7">
        <v>0.75</v>
      </c>
      <c r="J231" s="7">
        <v>0.5</v>
      </c>
      <c r="K231" s="7">
        <v>0.75</v>
      </c>
      <c r="L231" s="7">
        <v>0.5</v>
      </c>
    </row>
    <row r="232" spans="1:17" s="7" customFormat="1" x14ac:dyDescent="0.25">
      <c r="A232" s="1" t="s">
        <v>18</v>
      </c>
      <c r="B232" s="14"/>
      <c r="C232" s="14"/>
      <c r="D232" s="14"/>
      <c r="E232" s="14"/>
      <c r="F232" s="14"/>
      <c r="H232" s="7">
        <v>0</v>
      </c>
      <c r="J232" s="7">
        <v>0.33333333333333331</v>
      </c>
      <c r="K232" s="7">
        <v>0.33333333333333331</v>
      </c>
      <c r="L232" s="7">
        <v>0.5</v>
      </c>
    </row>
    <row r="233" spans="1:17" s="7" customFormat="1" x14ac:dyDescent="0.25">
      <c r="A233" s="1" t="s">
        <v>16</v>
      </c>
      <c r="B233" s="14"/>
      <c r="C233" s="14">
        <v>0</v>
      </c>
      <c r="D233" s="14">
        <v>0.33333333333333331</v>
      </c>
      <c r="E233" s="14"/>
      <c r="F233" s="14">
        <v>1</v>
      </c>
      <c r="G233" s="7">
        <v>0.25</v>
      </c>
      <c r="H233" s="9">
        <v>0.25</v>
      </c>
      <c r="I233" s="7">
        <v>0.66666666666666663</v>
      </c>
      <c r="J233" s="7">
        <v>0.5</v>
      </c>
      <c r="K233" s="7">
        <v>1</v>
      </c>
      <c r="L233" s="7">
        <v>0.5</v>
      </c>
    </row>
    <row r="234" spans="1:17" s="7" customFormat="1" x14ac:dyDescent="0.25">
      <c r="A234" s="1" t="s">
        <v>22</v>
      </c>
      <c r="C234" s="7">
        <v>0.5</v>
      </c>
      <c r="D234" s="7">
        <v>0.625</v>
      </c>
      <c r="F234" s="7">
        <v>0</v>
      </c>
      <c r="G234" s="7">
        <v>1</v>
      </c>
      <c r="H234" s="7">
        <v>0.44444444444444442</v>
      </c>
      <c r="J234" s="7">
        <v>0.33333333333333331</v>
      </c>
      <c r="K234" s="7">
        <v>0</v>
      </c>
      <c r="L234" s="7">
        <v>0</v>
      </c>
    </row>
    <row r="235" spans="1:17" s="7" customFormat="1" x14ac:dyDescent="0.25">
      <c r="A235" s="1" t="s">
        <v>4</v>
      </c>
      <c r="C235" s="7">
        <v>0.5</v>
      </c>
      <c r="D235" s="7">
        <v>0.8571428571428571</v>
      </c>
      <c r="F235" s="7">
        <v>1</v>
      </c>
      <c r="G235" s="7">
        <v>0.75</v>
      </c>
      <c r="H235" s="7">
        <v>0.66666666666666663</v>
      </c>
      <c r="I235" s="7">
        <v>0</v>
      </c>
      <c r="J235" s="7">
        <v>0.66666666666666663</v>
      </c>
      <c r="K235" s="7">
        <v>0.375</v>
      </c>
      <c r="L235" s="7">
        <v>1</v>
      </c>
    </row>
    <row r="236" spans="1:17" s="7" customFormat="1" x14ac:dyDescent="0.25">
      <c r="A236" s="1" t="s">
        <v>6</v>
      </c>
      <c r="C236" s="7">
        <v>0</v>
      </c>
      <c r="D236" s="7">
        <v>0.5</v>
      </c>
      <c r="F236" s="7">
        <v>0</v>
      </c>
      <c r="G236" s="7">
        <v>0.5</v>
      </c>
      <c r="H236" s="7">
        <v>0.55555555555555558</v>
      </c>
      <c r="I236" s="7">
        <v>0.33333333333333331</v>
      </c>
      <c r="J236" s="7">
        <v>0.83333333333333337</v>
      </c>
      <c r="K236" s="7">
        <v>0.8</v>
      </c>
    </row>
    <row r="237" spans="1:17" s="7" customFormat="1" x14ac:dyDescent="0.25">
      <c r="A237" s="1" t="s">
        <v>5</v>
      </c>
      <c r="C237" s="7">
        <v>0.5</v>
      </c>
      <c r="D237" s="7">
        <v>0.33333333333333331</v>
      </c>
      <c r="F237" s="7">
        <v>1</v>
      </c>
      <c r="G237" s="7">
        <v>0.4</v>
      </c>
      <c r="H237" s="7">
        <v>0.66666666666666663</v>
      </c>
      <c r="I237" s="7">
        <v>0.25</v>
      </c>
      <c r="J237" s="7">
        <v>0.66666666666666663</v>
      </c>
      <c r="K237" s="7">
        <v>0.5</v>
      </c>
      <c r="L237" s="7">
        <v>1</v>
      </c>
    </row>
    <row r="238" spans="1:17" s="7" customFormat="1" x14ac:dyDescent="0.25">
      <c r="A238" s="1" t="s">
        <v>8</v>
      </c>
      <c r="D238" s="7">
        <v>0.4</v>
      </c>
      <c r="G238" s="7">
        <v>0.6</v>
      </c>
      <c r="H238" s="7">
        <v>0.33333333333333331</v>
      </c>
      <c r="I238" s="7">
        <v>0.5</v>
      </c>
      <c r="J238" s="7">
        <v>0</v>
      </c>
      <c r="K238" s="7">
        <v>0.42857142857142855</v>
      </c>
      <c r="L238" s="7">
        <v>1</v>
      </c>
    </row>
    <row r="239" spans="1:17" s="7" customFormat="1" x14ac:dyDescent="0.25">
      <c r="A239" s="1" t="s">
        <v>12</v>
      </c>
      <c r="C239" s="7">
        <v>1</v>
      </c>
      <c r="D239" s="7">
        <v>0.5</v>
      </c>
      <c r="F239" s="7">
        <v>0</v>
      </c>
      <c r="G239" s="7">
        <v>0.4</v>
      </c>
      <c r="H239" s="7">
        <v>0.66666666666666663</v>
      </c>
      <c r="I239" s="7">
        <v>0.5</v>
      </c>
      <c r="J239" s="7">
        <v>0.33333333333333331</v>
      </c>
      <c r="K239" s="7">
        <v>0.5</v>
      </c>
      <c r="L239" s="7">
        <v>0</v>
      </c>
    </row>
    <row r="240" spans="1:17" s="7" customFormat="1" x14ac:dyDescent="0.25">
      <c r="A240" s="2" t="s">
        <v>23</v>
      </c>
      <c r="C240" s="7">
        <v>0.5</v>
      </c>
      <c r="G240" s="7">
        <v>1</v>
      </c>
      <c r="H240" s="7">
        <v>0.33333333333333331</v>
      </c>
      <c r="I240" s="7">
        <v>0.5</v>
      </c>
      <c r="J240" s="7">
        <v>0.33333333333333331</v>
      </c>
      <c r="K240" s="7">
        <v>0.25</v>
      </c>
      <c r="L240" s="7">
        <v>0.5</v>
      </c>
    </row>
    <row r="241" spans="1:12" s="7" customFormat="1" x14ac:dyDescent="0.25">
      <c r="A241" s="2" t="s">
        <v>11</v>
      </c>
      <c r="C241" s="7">
        <v>0.5</v>
      </c>
      <c r="D241" s="7">
        <v>0.5</v>
      </c>
      <c r="G241" s="7">
        <v>0.5</v>
      </c>
      <c r="H241" s="7">
        <v>0.25</v>
      </c>
      <c r="I241" s="7">
        <v>1</v>
      </c>
      <c r="J241" s="7">
        <v>0.66666666666666663</v>
      </c>
      <c r="K241" s="7">
        <v>0.4</v>
      </c>
    </row>
    <row r="242" spans="1:12" s="7" customFormat="1" x14ac:dyDescent="0.25">
      <c r="A242" s="1" t="s">
        <v>9</v>
      </c>
      <c r="C242" s="7">
        <v>0.5</v>
      </c>
      <c r="D242" s="7">
        <v>0.66666666666666663</v>
      </c>
      <c r="F242" s="7">
        <v>1</v>
      </c>
      <c r="H242" s="7">
        <v>0.4</v>
      </c>
      <c r="I242" s="7">
        <v>0</v>
      </c>
      <c r="J242" s="7">
        <v>1</v>
      </c>
      <c r="K242" s="7">
        <v>0.14285714285714285</v>
      </c>
    </row>
    <row r="243" spans="1:12" s="7" customFormat="1" x14ac:dyDescent="0.25">
      <c r="A243" s="1" t="s">
        <v>24</v>
      </c>
      <c r="D243" s="7">
        <v>0.33333333333333331</v>
      </c>
      <c r="F243" s="7">
        <v>0</v>
      </c>
      <c r="G243" s="7">
        <v>0.6</v>
      </c>
      <c r="H243" s="7">
        <v>0</v>
      </c>
      <c r="I243" s="7">
        <v>0.5</v>
      </c>
      <c r="J243" s="7">
        <v>0.5</v>
      </c>
    </row>
    <row r="244" spans="1:12" s="7" customFormat="1" x14ac:dyDescent="0.25">
      <c r="A244" s="1" t="s">
        <v>26</v>
      </c>
      <c r="D244" s="7">
        <v>0.33333333333333331</v>
      </c>
      <c r="G244" s="7">
        <v>0.33333333333333331</v>
      </c>
      <c r="I244" s="7">
        <v>1</v>
      </c>
    </row>
    <row r="245" spans="1:12" s="7" customFormat="1" x14ac:dyDescent="0.25">
      <c r="A245" s="1" t="s">
        <v>7</v>
      </c>
      <c r="C245" s="7">
        <v>1</v>
      </c>
      <c r="D245" s="7">
        <v>0.8</v>
      </c>
      <c r="F245" s="7">
        <v>1</v>
      </c>
      <c r="H245" s="7">
        <v>0.66666666666666663</v>
      </c>
      <c r="I245" s="7">
        <v>1</v>
      </c>
      <c r="J245" s="7">
        <v>1</v>
      </c>
      <c r="K245" s="7">
        <v>0.875</v>
      </c>
      <c r="L245" s="7">
        <v>0</v>
      </c>
    </row>
    <row r="246" spans="1:12" s="7" customFormat="1" x14ac:dyDescent="0.25">
      <c r="A246" s="1" t="s">
        <v>10</v>
      </c>
      <c r="J246" s="7">
        <v>0</v>
      </c>
      <c r="K246" s="7">
        <v>0</v>
      </c>
    </row>
    <row r="249" spans="1:12" x14ac:dyDescent="0.25">
      <c r="A249" s="3" t="s">
        <v>163</v>
      </c>
      <c r="D249" s="1" t="s">
        <v>164</v>
      </c>
      <c r="E249" s="10">
        <f ca="1">TODAY()</f>
        <v>44911</v>
      </c>
    </row>
    <row r="250" spans="1:12" s="11" customFormat="1" x14ac:dyDescent="0.25">
      <c r="B250" s="11">
        <v>44837</v>
      </c>
      <c r="C250" s="11">
        <v>44844</v>
      </c>
      <c r="D250" s="11">
        <v>44851</v>
      </c>
      <c r="E250" s="11">
        <v>44858</v>
      </c>
      <c r="F250" s="11">
        <v>44865</v>
      </c>
      <c r="G250" s="11">
        <v>44872</v>
      </c>
      <c r="H250" s="11">
        <v>44879</v>
      </c>
      <c r="I250" s="11">
        <v>44886</v>
      </c>
      <c r="J250" s="11">
        <v>44893</v>
      </c>
      <c r="K250" s="11">
        <v>44900</v>
      </c>
      <c r="L250" s="11">
        <v>44907</v>
      </c>
    </row>
    <row r="251" spans="1:12" s="7" customFormat="1" x14ac:dyDescent="0.25">
      <c r="A251" s="1" t="s">
        <v>3</v>
      </c>
      <c r="D251" s="7">
        <v>0.42857142857142855</v>
      </c>
      <c r="E251" s="7">
        <v>0.42857142857142855</v>
      </c>
      <c r="F251" s="7">
        <v>0.375</v>
      </c>
      <c r="G251" s="7">
        <v>0.38461538461538464</v>
      </c>
      <c r="H251" s="7">
        <v>0.52631578947368418</v>
      </c>
      <c r="I251" s="7">
        <v>0.56521739130434778</v>
      </c>
      <c r="J251" s="7">
        <v>0.55172413793103448</v>
      </c>
      <c r="K251" s="7">
        <v>0.59459459459459463</v>
      </c>
      <c r="L251" s="7">
        <v>0.58974358974358976</v>
      </c>
    </row>
    <row r="252" spans="1:12" s="7" customFormat="1" x14ac:dyDescent="0.25">
      <c r="A252" s="1" t="s">
        <v>18</v>
      </c>
      <c r="H252" s="7">
        <v>0</v>
      </c>
      <c r="I252" s="7">
        <v>0</v>
      </c>
      <c r="J252" s="7">
        <v>0.25</v>
      </c>
      <c r="K252" s="7">
        <v>0.2857142857142857</v>
      </c>
      <c r="L252" s="7">
        <v>0.33333333333333331</v>
      </c>
    </row>
    <row r="253" spans="1:12" s="7" customFormat="1" x14ac:dyDescent="0.25">
      <c r="A253" s="1" t="s">
        <v>16</v>
      </c>
      <c r="C253" s="7">
        <v>0</v>
      </c>
      <c r="D253" s="7">
        <v>0.25</v>
      </c>
      <c r="E253" s="7">
        <v>0.25</v>
      </c>
      <c r="F253" s="7">
        <v>0.33333333333333331</v>
      </c>
      <c r="G253" s="7">
        <v>0.30769230769230771</v>
      </c>
      <c r="H253" s="7">
        <v>0.2857142857142857</v>
      </c>
      <c r="I253" s="7">
        <v>0.33333333333333331</v>
      </c>
      <c r="J253" s="7">
        <v>0.35714285714285715</v>
      </c>
      <c r="K253" s="7">
        <v>0.41935483870967744</v>
      </c>
      <c r="L253" s="7">
        <v>0.42424242424242425</v>
      </c>
    </row>
    <row r="254" spans="1:12" s="7" customFormat="1" x14ac:dyDescent="0.25">
      <c r="A254" s="1" t="s">
        <v>22</v>
      </c>
      <c r="C254" s="7">
        <v>0.5</v>
      </c>
      <c r="D254" s="7">
        <v>0.6</v>
      </c>
      <c r="E254" s="7">
        <v>0.6</v>
      </c>
      <c r="F254" s="7">
        <v>0.54545454545454541</v>
      </c>
      <c r="G254" s="7">
        <v>0.66666666666666663</v>
      </c>
      <c r="H254" s="7">
        <v>0.58333333333333337</v>
      </c>
      <c r="I254" s="7">
        <v>0.58333333333333337</v>
      </c>
      <c r="J254" s="7">
        <v>0.53333333333333333</v>
      </c>
      <c r="K254" s="7">
        <v>0.5</v>
      </c>
      <c r="L254" s="7">
        <v>0.47058823529411764</v>
      </c>
    </row>
    <row r="255" spans="1:12" s="7" customFormat="1" x14ac:dyDescent="0.25">
      <c r="A255" s="1" t="s">
        <v>4</v>
      </c>
      <c r="C255" s="7">
        <v>0.5</v>
      </c>
      <c r="D255" s="7">
        <v>0.77777777777777779</v>
      </c>
      <c r="E255" s="7">
        <v>0.77777777777777779</v>
      </c>
      <c r="F255" s="7">
        <v>0.8</v>
      </c>
      <c r="G255" s="7">
        <v>0.7857142857142857</v>
      </c>
      <c r="H255" s="7">
        <v>0.73913043478260865</v>
      </c>
      <c r="I255" s="7">
        <v>0.62962962962962965</v>
      </c>
      <c r="J255" s="7">
        <v>0.63636363636363635</v>
      </c>
      <c r="K255" s="7">
        <v>0.58536585365853655</v>
      </c>
      <c r="L255" s="7">
        <v>0.60465116279069764</v>
      </c>
    </row>
    <row r="256" spans="1:12" s="7" customFormat="1" x14ac:dyDescent="0.25">
      <c r="A256" s="1" t="s">
        <v>6</v>
      </c>
      <c r="C256" s="7">
        <v>0</v>
      </c>
      <c r="D256" s="7">
        <v>0.4</v>
      </c>
      <c r="E256" s="7">
        <v>0.4</v>
      </c>
      <c r="F256" s="7">
        <v>0.36363636363636365</v>
      </c>
      <c r="G256" s="7">
        <v>0.38461538461538464</v>
      </c>
      <c r="H256" s="7">
        <v>0.45454545454545453</v>
      </c>
      <c r="I256" s="7">
        <v>0.44</v>
      </c>
      <c r="J256" s="7">
        <v>0.5161290322580645</v>
      </c>
      <c r="K256" s="7">
        <v>0.55555555555555558</v>
      </c>
      <c r="L256" s="7">
        <v>0.55555555555555558</v>
      </c>
    </row>
    <row r="257" spans="1:12" s="7" customFormat="1" x14ac:dyDescent="0.25">
      <c r="A257" s="1" t="s">
        <v>5</v>
      </c>
      <c r="C257" s="7">
        <v>0.5</v>
      </c>
      <c r="D257" s="7">
        <v>0.375</v>
      </c>
      <c r="E257" s="7">
        <v>0.375</v>
      </c>
      <c r="F257" s="7">
        <v>0.44444444444444442</v>
      </c>
      <c r="G257" s="7">
        <v>0.42857142857142855</v>
      </c>
      <c r="H257" s="7">
        <v>0.52173913043478259</v>
      </c>
      <c r="I257" s="7">
        <v>0.48148148148148145</v>
      </c>
      <c r="J257" s="7">
        <v>0.51515151515151514</v>
      </c>
      <c r="K257" s="7">
        <v>0.51219512195121952</v>
      </c>
      <c r="L257" s="7">
        <v>0.53488372093023251</v>
      </c>
    </row>
    <row r="258" spans="1:12" s="7" customFormat="1" x14ac:dyDescent="0.25">
      <c r="A258" s="1" t="s">
        <v>8</v>
      </c>
      <c r="D258" s="7">
        <v>0.4</v>
      </c>
      <c r="E258" s="7">
        <v>0.4</v>
      </c>
      <c r="F258" s="7">
        <v>0.4</v>
      </c>
      <c r="G258" s="7">
        <v>0.5</v>
      </c>
      <c r="H258" s="7">
        <v>0.4375</v>
      </c>
      <c r="I258" s="7">
        <v>0.44444444444444442</v>
      </c>
      <c r="J258" s="7">
        <v>0.4</v>
      </c>
      <c r="K258" s="7">
        <v>0.40740740740740738</v>
      </c>
      <c r="L258" s="7">
        <v>0.44827586206896552</v>
      </c>
    </row>
    <row r="259" spans="1:12" s="7" customFormat="1" x14ac:dyDescent="0.25">
      <c r="A259" s="1" t="s">
        <v>12</v>
      </c>
      <c r="C259" s="7">
        <v>1</v>
      </c>
      <c r="D259" s="7">
        <v>0.6</v>
      </c>
      <c r="E259" s="7">
        <v>0.6</v>
      </c>
      <c r="F259" s="7">
        <v>0.54545454545454541</v>
      </c>
      <c r="G259" s="7">
        <v>0.5</v>
      </c>
      <c r="H259" s="7">
        <v>0.56000000000000005</v>
      </c>
      <c r="I259" s="7">
        <v>0.55172413793103448</v>
      </c>
      <c r="J259" s="7">
        <v>0.51428571428571423</v>
      </c>
      <c r="K259" s="7">
        <v>0.51219512195121952</v>
      </c>
      <c r="L259" s="7">
        <v>0.48837209302325579</v>
      </c>
    </row>
    <row r="260" spans="1:12" s="7" customFormat="1" x14ac:dyDescent="0.25">
      <c r="A260" s="2" t="s">
        <v>23</v>
      </c>
      <c r="C260" s="7">
        <v>0.5</v>
      </c>
      <c r="D260" s="7">
        <v>0.5</v>
      </c>
      <c r="E260" s="7">
        <v>0.5</v>
      </c>
      <c r="F260" s="7">
        <v>0.5</v>
      </c>
      <c r="G260" s="7">
        <v>0.66666666666666663</v>
      </c>
      <c r="H260" s="7">
        <v>0.44444444444444442</v>
      </c>
      <c r="I260" s="7">
        <v>0.46153846153846156</v>
      </c>
      <c r="J260" s="7">
        <v>0.42105263157894735</v>
      </c>
      <c r="K260" s="7">
        <v>0.39130434782608697</v>
      </c>
      <c r="L260" s="7">
        <v>0.4</v>
      </c>
    </row>
    <row r="261" spans="1:12" s="7" customFormat="1" x14ac:dyDescent="0.25">
      <c r="A261" s="2" t="s">
        <v>11</v>
      </c>
      <c r="C261" s="7">
        <v>0.5</v>
      </c>
      <c r="D261" s="7">
        <v>0.5</v>
      </c>
      <c r="E261" s="7">
        <v>0.5</v>
      </c>
      <c r="F261" s="7">
        <v>0.5</v>
      </c>
      <c r="G261" s="7">
        <v>0.5</v>
      </c>
      <c r="H261" s="7">
        <v>0.4</v>
      </c>
      <c r="I261" s="7">
        <v>0.5</v>
      </c>
      <c r="J261" s="7">
        <v>0.53333333333333333</v>
      </c>
      <c r="K261" s="7">
        <v>0.5</v>
      </c>
      <c r="L261" s="7">
        <v>0.5</v>
      </c>
    </row>
    <row r="262" spans="1:12" s="7" customFormat="1" x14ac:dyDescent="0.25">
      <c r="A262" s="1" t="s">
        <v>9</v>
      </c>
      <c r="C262" s="7">
        <v>0.5</v>
      </c>
      <c r="D262" s="7">
        <v>0.6</v>
      </c>
      <c r="E262" s="7">
        <v>0.6</v>
      </c>
      <c r="F262" s="7">
        <v>0.66666666666666663</v>
      </c>
      <c r="G262" s="7">
        <v>0.66666666666666663</v>
      </c>
      <c r="H262" s="7">
        <v>0.54545454545454541</v>
      </c>
      <c r="I262" s="7">
        <v>0.42857142857142855</v>
      </c>
      <c r="J262" s="7">
        <v>0.46666666666666667</v>
      </c>
      <c r="K262" s="7">
        <v>0.36363636363636365</v>
      </c>
      <c r="L262" s="7">
        <v>0.36363636363636365</v>
      </c>
    </row>
    <row r="263" spans="1:12" s="7" customFormat="1" x14ac:dyDescent="0.25">
      <c r="A263" s="1" t="s">
        <v>24</v>
      </c>
      <c r="D263" s="7">
        <v>0.33333333333333331</v>
      </c>
      <c r="E263" s="7">
        <v>0.33333333333333331</v>
      </c>
      <c r="F263" s="7">
        <v>0.2857142857142857</v>
      </c>
      <c r="G263" s="7">
        <v>0.41666666666666669</v>
      </c>
      <c r="H263" s="7">
        <v>0.33333333333333331</v>
      </c>
      <c r="I263" s="7">
        <v>0.35294117647058826</v>
      </c>
      <c r="J263" s="7">
        <v>0.36842105263157893</v>
      </c>
      <c r="K263" s="7">
        <v>0.36842105263157893</v>
      </c>
      <c r="L263" s="7">
        <v>0.36842105263157893</v>
      </c>
    </row>
    <row r="264" spans="1:12" s="7" customFormat="1" x14ac:dyDescent="0.25">
      <c r="A264" s="1" t="s">
        <v>26</v>
      </c>
      <c r="D264" s="7">
        <v>0.33333333333333331</v>
      </c>
      <c r="E264" s="7">
        <v>0.33333333333333331</v>
      </c>
      <c r="F264" s="7">
        <v>0.33333333333333331</v>
      </c>
      <c r="G264" s="7">
        <v>0.33333333333333331</v>
      </c>
      <c r="H264" s="7">
        <v>0.33333333333333331</v>
      </c>
      <c r="I264" s="7">
        <v>0.42857142857142855</v>
      </c>
      <c r="J264" s="7">
        <v>0.42857142857142855</v>
      </c>
      <c r="K264" s="7">
        <v>0.42857142857142855</v>
      </c>
      <c r="L264" s="7">
        <v>0.42857142857142855</v>
      </c>
    </row>
    <row r="265" spans="1:12" s="7" customFormat="1" x14ac:dyDescent="0.25">
      <c r="A265" s="1" t="s">
        <v>7</v>
      </c>
      <c r="C265" s="7">
        <v>1</v>
      </c>
      <c r="D265" s="7">
        <v>0.8571428571428571</v>
      </c>
      <c r="E265" s="7">
        <v>0.8571428571428571</v>
      </c>
      <c r="F265" s="7">
        <v>0.875</v>
      </c>
      <c r="G265" s="7">
        <v>0.875</v>
      </c>
      <c r="H265" s="7">
        <v>0.7857142857142857</v>
      </c>
      <c r="I265" s="7">
        <v>0.82352941176470584</v>
      </c>
      <c r="J265" s="7">
        <v>0.83333333333333337</v>
      </c>
      <c r="K265" s="7">
        <v>0.84615384615384615</v>
      </c>
      <c r="L265" s="7">
        <v>0.7857142857142857</v>
      </c>
    </row>
    <row r="266" spans="1:12" s="7" customFormat="1" x14ac:dyDescent="0.25">
      <c r="A266" s="1" t="s">
        <v>10</v>
      </c>
      <c r="J266" s="7">
        <v>0</v>
      </c>
      <c r="K266" s="7">
        <v>0</v>
      </c>
      <c r="L266" s="7">
        <v>0</v>
      </c>
    </row>
    <row r="269" spans="1:12" x14ac:dyDescent="0.25">
      <c r="A269" s="3" t="s">
        <v>170</v>
      </c>
    </row>
    <row r="270" spans="1:12" s="11" customFormat="1" x14ac:dyDescent="0.25">
      <c r="B270" s="11">
        <v>44837</v>
      </c>
      <c r="C270" s="11">
        <v>44844</v>
      </c>
      <c r="D270" s="11">
        <v>44851</v>
      </c>
      <c r="E270" s="11">
        <v>44858</v>
      </c>
      <c r="F270" s="11">
        <v>44865</v>
      </c>
      <c r="G270" s="11">
        <v>44872</v>
      </c>
      <c r="H270" s="11">
        <v>44879</v>
      </c>
      <c r="I270" s="11">
        <v>44886</v>
      </c>
      <c r="J270" s="11">
        <v>44893</v>
      </c>
      <c r="K270" s="11">
        <v>44900</v>
      </c>
      <c r="L270" s="11">
        <v>44907</v>
      </c>
    </row>
    <row r="271" spans="1:12" x14ac:dyDescent="0.25">
      <c r="A271" s="1" t="s">
        <v>3</v>
      </c>
      <c r="B271" s="1">
        <v>0</v>
      </c>
      <c r="C271" s="1">
        <v>0</v>
      </c>
      <c r="D271" s="1">
        <v>3</v>
      </c>
      <c r="E271" s="1">
        <v>3</v>
      </c>
      <c r="F271" s="1">
        <v>3</v>
      </c>
      <c r="G271" s="1">
        <v>5</v>
      </c>
      <c r="H271" s="1">
        <v>10</v>
      </c>
      <c r="I271" s="1">
        <v>13</v>
      </c>
      <c r="J271" s="1">
        <v>16</v>
      </c>
      <c r="K271" s="1">
        <v>22</v>
      </c>
      <c r="L271" s="1">
        <v>23</v>
      </c>
    </row>
    <row r="272" spans="1:12" x14ac:dyDescent="0.25">
      <c r="A272" s="1" t="s">
        <v>18</v>
      </c>
      <c r="B272" s="1">
        <v>0</v>
      </c>
      <c r="C272" s="1">
        <v>0</v>
      </c>
      <c r="D272" s="1">
        <v>0</v>
      </c>
      <c r="E272" s="1">
        <v>0</v>
      </c>
      <c r="F272" s="1">
        <v>0</v>
      </c>
      <c r="G272" s="1">
        <v>0</v>
      </c>
      <c r="H272" s="1">
        <v>0</v>
      </c>
      <c r="I272" s="1">
        <v>0</v>
      </c>
      <c r="J272" s="1">
        <v>1</v>
      </c>
      <c r="K272" s="1">
        <v>2</v>
      </c>
      <c r="L272" s="1">
        <v>3</v>
      </c>
    </row>
    <row r="273" spans="1:12" x14ac:dyDescent="0.25">
      <c r="A273" s="1" t="s">
        <v>16</v>
      </c>
      <c r="B273" s="1">
        <v>0</v>
      </c>
      <c r="C273" s="1">
        <v>0</v>
      </c>
      <c r="D273" s="1">
        <v>2</v>
      </c>
      <c r="E273" s="1">
        <v>2</v>
      </c>
      <c r="F273" s="1">
        <v>3</v>
      </c>
      <c r="G273" s="1">
        <v>4</v>
      </c>
      <c r="H273" s="1">
        <v>6</v>
      </c>
      <c r="I273" s="1">
        <v>8</v>
      </c>
      <c r="J273" s="1">
        <v>10</v>
      </c>
      <c r="K273" s="1">
        <v>13</v>
      </c>
      <c r="L273" s="1">
        <v>14</v>
      </c>
    </row>
    <row r="274" spans="1:12" x14ac:dyDescent="0.25">
      <c r="A274" s="1" t="s">
        <v>22</v>
      </c>
      <c r="B274" s="1">
        <v>0</v>
      </c>
      <c r="C274" s="1">
        <v>1</v>
      </c>
      <c r="D274" s="1">
        <v>6</v>
      </c>
      <c r="E274" s="1">
        <v>6</v>
      </c>
      <c r="F274" s="1">
        <v>6</v>
      </c>
      <c r="G274" s="1">
        <v>10</v>
      </c>
      <c r="H274" s="1">
        <v>14</v>
      </c>
      <c r="I274" s="1">
        <v>14</v>
      </c>
      <c r="J274" s="1">
        <v>16</v>
      </c>
      <c r="K274" s="1">
        <v>16</v>
      </c>
      <c r="L274" s="1">
        <v>16</v>
      </c>
    </row>
    <row r="275" spans="1:12" x14ac:dyDescent="0.25">
      <c r="A275" s="1" t="s">
        <v>4</v>
      </c>
      <c r="B275" s="1">
        <v>0</v>
      </c>
      <c r="C275" s="1">
        <v>1</v>
      </c>
      <c r="D275" s="1">
        <v>7</v>
      </c>
      <c r="E275" s="1">
        <v>7</v>
      </c>
      <c r="F275" s="1">
        <v>8</v>
      </c>
      <c r="G275" s="1">
        <v>11</v>
      </c>
      <c r="H275" s="1">
        <v>17</v>
      </c>
      <c r="I275" s="1">
        <v>17</v>
      </c>
      <c r="J275" s="1">
        <v>21</v>
      </c>
      <c r="K275" s="1">
        <v>24</v>
      </c>
      <c r="L275" s="1">
        <v>26</v>
      </c>
    </row>
    <row r="276" spans="1:12" x14ac:dyDescent="0.25">
      <c r="A276" s="1" t="s">
        <v>6</v>
      </c>
      <c r="B276" s="1">
        <v>0</v>
      </c>
      <c r="C276" s="1">
        <v>0</v>
      </c>
      <c r="D276" s="1">
        <v>4</v>
      </c>
      <c r="E276" s="1">
        <v>4</v>
      </c>
      <c r="F276" s="1">
        <v>4</v>
      </c>
      <c r="G276" s="1">
        <v>5</v>
      </c>
      <c r="H276" s="1">
        <v>10</v>
      </c>
      <c r="I276" s="1">
        <v>11</v>
      </c>
      <c r="J276" s="1">
        <v>16</v>
      </c>
      <c r="K276" s="1">
        <v>20</v>
      </c>
      <c r="L276" s="1">
        <v>20</v>
      </c>
    </row>
    <row r="277" spans="1:12" x14ac:dyDescent="0.25">
      <c r="A277" s="1" t="s">
        <v>5</v>
      </c>
      <c r="B277" s="1">
        <v>0</v>
      </c>
      <c r="C277" s="1">
        <v>1</v>
      </c>
      <c r="D277" s="1">
        <v>3</v>
      </c>
      <c r="E277" s="1">
        <v>3</v>
      </c>
      <c r="F277" s="1">
        <v>4</v>
      </c>
      <c r="G277" s="1">
        <v>6</v>
      </c>
      <c r="H277" s="1">
        <v>12</v>
      </c>
      <c r="I277" s="1">
        <v>13</v>
      </c>
      <c r="J277" s="1">
        <v>17</v>
      </c>
      <c r="K277" s="1">
        <v>21</v>
      </c>
      <c r="L277" s="1">
        <v>23</v>
      </c>
    </row>
    <row r="278" spans="1:12" x14ac:dyDescent="0.25">
      <c r="A278" s="1" t="s">
        <v>8</v>
      </c>
      <c r="B278" s="1">
        <v>0</v>
      </c>
      <c r="C278" s="1">
        <v>0</v>
      </c>
      <c r="D278" s="1">
        <v>2</v>
      </c>
      <c r="E278" s="1">
        <v>2</v>
      </c>
      <c r="F278" s="1">
        <v>2</v>
      </c>
      <c r="G278" s="1">
        <v>5</v>
      </c>
      <c r="H278" s="1">
        <v>7</v>
      </c>
      <c r="I278" s="1">
        <v>8</v>
      </c>
      <c r="J278" s="1">
        <v>8</v>
      </c>
      <c r="K278" s="1">
        <v>11</v>
      </c>
      <c r="L278" s="1">
        <v>13</v>
      </c>
    </row>
    <row r="279" spans="1:12" x14ac:dyDescent="0.25">
      <c r="A279" s="1" t="s">
        <v>12</v>
      </c>
      <c r="B279" s="1">
        <v>0</v>
      </c>
      <c r="C279" s="1">
        <v>2</v>
      </c>
      <c r="D279" s="1">
        <v>6</v>
      </c>
      <c r="E279" s="1">
        <v>6</v>
      </c>
      <c r="F279" s="1">
        <v>6</v>
      </c>
      <c r="G279" s="1">
        <v>8</v>
      </c>
      <c r="H279" s="1">
        <v>14</v>
      </c>
      <c r="I279" s="1">
        <v>16</v>
      </c>
      <c r="J279" s="1">
        <v>18</v>
      </c>
      <c r="K279" s="1">
        <v>21</v>
      </c>
      <c r="L279" s="1">
        <v>21</v>
      </c>
    </row>
    <row r="280" spans="1:12" x14ac:dyDescent="0.25">
      <c r="A280" s="2" t="s">
        <v>23</v>
      </c>
      <c r="B280" s="1">
        <v>0</v>
      </c>
      <c r="C280" s="1">
        <v>1</v>
      </c>
      <c r="D280" s="1">
        <v>1</v>
      </c>
      <c r="E280" s="1">
        <v>1</v>
      </c>
      <c r="F280" s="1">
        <v>1</v>
      </c>
      <c r="G280" s="1">
        <v>2</v>
      </c>
      <c r="H280" s="1">
        <v>4</v>
      </c>
      <c r="I280" s="1">
        <v>6</v>
      </c>
      <c r="J280" s="1">
        <v>8</v>
      </c>
      <c r="K280" s="1">
        <v>9</v>
      </c>
      <c r="L280" s="1">
        <v>10</v>
      </c>
    </row>
    <row r="281" spans="1:12" x14ac:dyDescent="0.25">
      <c r="A281" s="2" t="s">
        <v>11</v>
      </c>
      <c r="B281" s="1">
        <v>0</v>
      </c>
      <c r="C281" s="1">
        <v>1</v>
      </c>
      <c r="D281" s="1">
        <v>2</v>
      </c>
      <c r="E281" s="1">
        <v>2</v>
      </c>
      <c r="F281" s="1">
        <v>2</v>
      </c>
      <c r="G281" s="1">
        <v>3</v>
      </c>
      <c r="H281" s="1">
        <v>4</v>
      </c>
      <c r="I281" s="1">
        <v>6</v>
      </c>
      <c r="J281" s="1">
        <v>8</v>
      </c>
      <c r="K281" s="1">
        <v>10</v>
      </c>
      <c r="L281" s="1">
        <v>10</v>
      </c>
    </row>
    <row r="282" spans="1:12" x14ac:dyDescent="0.25">
      <c r="A282" s="1" t="s">
        <v>9</v>
      </c>
      <c r="B282" s="1">
        <v>0</v>
      </c>
      <c r="C282" s="1">
        <v>1</v>
      </c>
      <c r="D282" s="1">
        <v>3</v>
      </c>
      <c r="E282" s="1">
        <v>3</v>
      </c>
      <c r="F282" s="1">
        <v>4</v>
      </c>
      <c r="G282" s="1">
        <v>4</v>
      </c>
      <c r="H282" s="1">
        <v>6</v>
      </c>
      <c r="I282" s="1">
        <v>6</v>
      </c>
      <c r="J282" s="1">
        <v>7</v>
      </c>
      <c r="K282" s="1">
        <v>8</v>
      </c>
      <c r="L282" s="1">
        <v>8</v>
      </c>
    </row>
    <row r="283" spans="1:12" x14ac:dyDescent="0.25">
      <c r="A283" s="1" t="s">
        <v>24</v>
      </c>
      <c r="B283" s="1">
        <v>0</v>
      </c>
      <c r="C283" s="1">
        <v>0</v>
      </c>
      <c r="D283" s="1">
        <v>2</v>
      </c>
      <c r="E283" s="1">
        <v>2</v>
      </c>
      <c r="F283" s="1">
        <v>2</v>
      </c>
      <c r="G283" s="1">
        <v>5</v>
      </c>
      <c r="H283" s="1">
        <v>5</v>
      </c>
      <c r="I283" s="1">
        <v>6</v>
      </c>
      <c r="J283" s="1">
        <v>7</v>
      </c>
      <c r="K283" s="1">
        <v>7</v>
      </c>
      <c r="L283" s="1">
        <v>7</v>
      </c>
    </row>
    <row r="284" spans="1:12" x14ac:dyDescent="0.25">
      <c r="A284" s="1" t="s">
        <v>26</v>
      </c>
      <c r="B284" s="1">
        <v>0</v>
      </c>
      <c r="C284" s="1">
        <v>0</v>
      </c>
      <c r="D284" s="1">
        <v>1</v>
      </c>
      <c r="E284" s="1">
        <v>1</v>
      </c>
      <c r="F284" s="1">
        <v>1</v>
      </c>
      <c r="G284" s="1">
        <v>2</v>
      </c>
      <c r="H284" s="1">
        <v>2</v>
      </c>
      <c r="I284" s="1">
        <v>3</v>
      </c>
      <c r="J284" s="1">
        <v>3</v>
      </c>
      <c r="K284" s="1">
        <v>3</v>
      </c>
      <c r="L284" s="1">
        <v>3</v>
      </c>
    </row>
    <row r="285" spans="1:12" x14ac:dyDescent="0.25">
      <c r="A285" s="1" t="s">
        <v>7</v>
      </c>
      <c r="B285" s="1">
        <v>0</v>
      </c>
      <c r="C285" s="1">
        <v>2</v>
      </c>
      <c r="D285" s="1">
        <v>6</v>
      </c>
      <c r="E285" s="1">
        <v>6</v>
      </c>
      <c r="F285" s="1">
        <v>7</v>
      </c>
      <c r="G285" s="1">
        <v>7</v>
      </c>
      <c r="H285" s="1">
        <v>11</v>
      </c>
      <c r="I285" s="1">
        <v>14</v>
      </c>
      <c r="J285" s="1">
        <v>15</v>
      </c>
      <c r="K285" s="1">
        <v>22</v>
      </c>
      <c r="L285" s="1">
        <v>22</v>
      </c>
    </row>
    <row r="286" spans="1:12" x14ac:dyDescent="0.25">
      <c r="A286" s="1" t="s">
        <v>10</v>
      </c>
      <c r="B286" s="1">
        <v>0</v>
      </c>
      <c r="C286" s="1">
        <v>0</v>
      </c>
      <c r="D286" s="1">
        <v>0</v>
      </c>
      <c r="E286" s="1">
        <v>0</v>
      </c>
      <c r="F286" s="1">
        <v>0</v>
      </c>
      <c r="G286" s="1">
        <v>0</v>
      </c>
      <c r="H286" s="1">
        <v>0</v>
      </c>
      <c r="I286" s="1">
        <v>0</v>
      </c>
      <c r="J286" s="1">
        <v>0</v>
      </c>
      <c r="K286" s="1">
        <v>0</v>
      </c>
      <c r="L286" s="1">
        <v>0</v>
      </c>
    </row>
    <row r="289" spans="1:12" x14ac:dyDescent="0.25">
      <c r="A289" s="3" t="s">
        <v>171</v>
      </c>
    </row>
    <row r="290" spans="1:12" s="11" customFormat="1" x14ac:dyDescent="0.25">
      <c r="B290" s="11">
        <v>44837</v>
      </c>
      <c r="C290" s="11">
        <v>44844</v>
      </c>
      <c r="D290" s="11">
        <v>44851</v>
      </c>
      <c r="E290" s="11">
        <v>44858</v>
      </c>
      <c r="F290" s="11">
        <v>44865</v>
      </c>
      <c r="G290" s="11">
        <v>44872</v>
      </c>
      <c r="H290" s="11">
        <v>44879</v>
      </c>
      <c r="I290" s="11">
        <v>44886</v>
      </c>
      <c r="J290" s="11">
        <v>44893</v>
      </c>
      <c r="K290" s="11">
        <v>44900</v>
      </c>
      <c r="L290" s="11">
        <v>44907</v>
      </c>
    </row>
    <row r="291" spans="1:12" x14ac:dyDescent="0.25">
      <c r="A291" s="1" t="s">
        <v>3</v>
      </c>
      <c r="B291" s="1">
        <v>0</v>
      </c>
      <c r="C291" s="1">
        <v>0</v>
      </c>
      <c r="D291" s="1">
        <v>7</v>
      </c>
      <c r="E291" s="1">
        <v>7</v>
      </c>
      <c r="F291" s="1">
        <v>8</v>
      </c>
      <c r="G291" s="1">
        <v>13</v>
      </c>
      <c r="H291" s="1">
        <v>19</v>
      </c>
      <c r="I291" s="1">
        <v>23</v>
      </c>
      <c r="J291" s="1">
        <v>29</v>
      </c>
      <c r="K291" s="1">
        <v>37</v>
      </c>
      <c r="L291" s="1">
        <v>39</v>
      </c>
    </row>
    <row r="292" spans="1:12" x14ac:dyDescent="0.25">
      <c r="A292" s="1" t="s">
        <v>18</v>
      </c>
      <c r="B292" s="1">
        <v>0</v>
      </c>
      <c r="C292" s="1">
        <v>0</v>
      </c>
      <c r="D292" s="1">
        <v>0</v>
      </c>
      <c r="E292" s="1">
        <v>0</v>
      </c>
      <c r="F292" s="1">
        <v>0</v>
      </c>
      <c r="G292" s="1">
        <v>0</v>
      </c>
      <c r="H292" s="1">
        <v>1</v>
      </c>
      <c r="I292" s="1">
        <v>1</v>
      </c>
      <c r="J292" s="1">
        <v>4</v>
      </c>
      <c r="K292" s="1">
        <v>7</v>
      </c>
      <c r="L292" s="1">
        <v>9</v>
      </c>
    </row>
    <row r="293" spans="1:12" x14ac:dyDescent="0.25">
      <c r="A293" s="1" t="s">
        <v>16</v>
      </c>
      <c r="B293" s="1">
        <v>0</v>
      </c>
      <c r="C293" s="1">
        <v>2</v>
      </c>
      <c r="D293" s="1">
        <v>8</v>
      </c>
      <c r="E293" s="1">
        <v>8</v>
      </c>
      <c r="F293" s="1">
        <v>9</v>
      </c>
      <c r="G293" s="1">
        <v>13</v>
      </c>
      <c r="H293" s="1">
        <v>21</v>
      </c>
      <c r="I293" s="1">
        <v>24</v>
      </c>
      <c r="J293" s="1">
        <v>28</v>
      </c>
      <c r="K293" s="1">
        <v>31</v>
      </c>
      <c r="L293" s="1">
        <v>33</v>
      </c>
    </row>
    <row r="294" spans="1:12" x14ac:dyDescent="0.25">
      <c r="A294" s="1" t="s">
        <v>22</v>
      </c>
      <c r="B294" s="1">
        <v>0</v>
      </c>
      <c r="C294" s="1">
        <v>2</v>
      </c>
      <c r="D294" s="1">
        <v>10</v>
      </c>
      <c r="E294" s="1">
        <v>10</v>
      </c>
      <c r="F294" s="1">
        <v>11</v>
      </c>
      <c r="G294" s="1">
        <v>15</v>
      </c>
      <c r="H294" s="1">
        <v>24</v>
      </c>
      <c r="I294" s="1">
        <v>24</v>
      </c>
      <c r="J294" s="1">
        <v>30</v>
      </c>
      <c r="K294" s="1">
        <v>32</v>
      </c>
      <c r="L294" s="1">
        <v>34</v>
      </c>
    </row>
    <row r="295" spans="1:12" x14ac:dyDescent="0.25">
      <c r="A295" s="1" t="s">
        <v>4</v>
      </c>
      <c r="B295" s="1">
        <v>0</v>
      </c>
      <c r="C295" s="1">
        <v>2</v>
      </c>
      <c r="D295" s="1">
        <v>9</v>
      </c>
      <c r="E295" s="1">
        <v>9</v>
      </c>
      <c r="F295" s="1">
        <v>10</v>
      </c>
      <c r="G295" s="1">
        <v>14</v>
      </c>
      <c r="H295" s="1">
        <v>23</v>
      </c>
      <c r="I295" s="1">
        <v>27</v>
      </c>
      <c r="J295" s="1">
        <v>33</v>
      </c>
      <c r="K295" s="1">
        <v>41</v>
      </c>
      <c r="L295" s="1">
        <v>43</v>
      </c>
    </row>
    <row r="296" spans="1:12" x14ac:dyDescent="0.25">
      <c r="A296" s="1" t="s">
        <v>6</v>
      </c>
      <c r="B296" s="1">
        <v>0</v>
      </c>
      <c r="C296" s="1">
        <v>2</v>
      </c>
      <c r="D296" s="1">
        <v>10</v>
      </c>
      <c r="E296" s="1">
        <v>10</v>
      </c>
      <c r="F296" s="1">
        <v>11</v>
      </c>
      <c r="G296" s="1">
        <v>13</v>
      </c>
      <c r="H296" s="1">
        <v>22</v>
      </c>
      <c r="I296" s="1">
        <v>25</v>
      </c>
      <c r="J296" s="1">
        <v>31</v>
      </c>
      <c r="K296" s="1">
        <v>36</v>
      </c>
      <c r="L296" s="1">
        <v>36</v>
      </c>
    </row>
    <row r="297" spans="1:12" x14ac:dyDescent="0.25">
      <c r="A297" s="1" t="s">
        <v>5</v>
      </c>
      <c r="B297" s="1">
        <v>0</v>
      </c>
      <c r="C297" s="1">
        <v>2</v>
      </c>
      <c r="D297" s="1">
        <v>8</v>
      </c>
      <c r="E297" s="1">
        <v>8</v>
      </c>
      <c r="F297" s="1">
        <v>9</v>
      </c>
      <c r="G297" s="1">
        <v>14</v>
      </c>
      <c r="H297" s="1">
        <v>23</v>
      </c>
      <c r="I297" s="1">
        <v>27</v>
      </c>
      <c r="J297" s="1">
        <v>33</v>
      </c>
      <c r="K297" s="1">
        <v>41</v>
      </c>
      <c r="L297" s="1">
        <v>43</v>
      </c>
    </row>
    <row r="298" spans="1:12" x14ac:dyDescent="0.25">
      <c r="A298" s="1" t="s">
        <v>8</v>
      </c>
      <c r="B298" s="1">
        <v>0</v>
      </c>
      <c r="C298" s="1">
        <v>0</v>
      </c>
      <c r="D298" s="1">
        <v>5</v>
      </c>
      <c r="E298" s="1">
        <v>5</v>
      </c>
      <c r="F298" s="1">
        <v>5</v>
      </c>
      <c r="G298" s="1">
        <v>10</v>
      </c>
      <c r="H298" s="1">
        <v>16</v>
      </c>
      <c r="I298" s="1">
        <v>18</v>
      </c>
      <c r="J298" s="1">
        <v>20</v>
      </c>
      <c r="K298" s="1">
        <v>27</v>
      </c>
      <c r="L298" s="1">
        <v>29</v>
      </c>
    </row>
    <row r="299" spans="1:12" x14ac:dyDescent="0.25">
      <c r="A299" s="1" t="s">
        <v>12</v>
      </c>
      <c r="B299" s="1">
        <v>0</v>
      </c>
      <c r="C299" s="1">
        <v>2</v>
      </c>
      <c r="D299" s="1">
        <v>10</v>
      </c>
      <c r="E299" s="1">
        <v>10</v>
      </c>
      <c r="F299" s="1">
        <v>11</v>
      </c>
      <c r="G299" s="1">
        <v>16</v>
      </c>
      <c r="H299" s="1">
        <v>25</v>
      </c>
      <c r="I299" s="1">
        <v>29</v>
      </c>
      <c r="J299" s="1">
        <v>35</v>
      </c>
      <c r="K299" s="1">
        <v>41</v>
      </c>
      <c r="L299" s="1">
        <v>43</v>
      </c>
    </row>
    <row r="300" spans="1:12" x14ac:dyDescent="0.25">
      <c r="A300" s="2" t="s">
        <v>23</v>
      </c>
      <c r="B300" s="1">
        <v>0</v>
      </c>
      <c r="C300" s="1">
        <v>2</v>
      </c>
      <c r="D300" s="1">
        <v>2</v>
      </c>
      <c r="E300" s="1">
        <v>2</v>
      </c>
      <c r="F300" s="1">
        <v>2</v>
      </c>
      <c r="G300" s="1">
        <v>3</v>
      </c>
      <c r="H300" s="1">
        <v>9</v>
      </c>
      <c r="I300" s="1">
        <v>13</v>
      </c>
      <c r="J300" s="1">
        <v>19</v>
      </c>
      <c r="K300" s="1">
        <v>23</v>
      </c>
      <c r="L300" s="1">
        <v>25</v>
      </c>
    </row>
    <row r="301" spans="1:12" x14ac:dyDescent="0.25">
      <c r="A301" s="2" t="s">
        <v>11</v>
      </c>
      <c r="B301" s="1">
        <v>0</v>
      </c>
      <c r="C301" s="1">
        <v>2</v>
      </c>
      <c r="D301" s="1">
        <v>4</v>
      </c>
      <c r="E301" s="1">
        <v>4</v>
      </c>
      <c r="F301" s="1">
        <v>4</v>
      </c>
      <c r="G301" s="1">
        <v>6</v>
      </c>
      <c r="H301" s="1">
        <v>10</v>
      </c>
      <c r="I301" s="1">
        <v>12</v>
      </c>
      <c r="J301" s="1">
        <v>15</v>
      </c>
      <c r="K301" s="1">
        <v>20</v>
      </c>
      <c r="L301" s="1">
        <v>20</v>
      </c>
    </row>
    <row r="302" spans="1:12" x14ac:dyDescent="0.25">
      <c r="A302" s="1" t="s">
        <v>9</v>
      </c>
      <c r="B302" s="1">
        <v>0</v>
      </c>
      <c r="C302" s="1">
        <v>2</v>
      </c>
      <c r="D302" s="1">
        <v>5</v>
      </c>
      <c r="E302" s="1">
        <v>5</v>
      </c>
      <c r="F302" s="1">
        <v>6</v>
      </c>
      <c r="G302" s="1">
        <v>6</v>
      </c>
      <c r="H302" s="1">
        <v>11</v>
      </c>
      <c r="I302" s="1">
        <v>14</v>
      </c>
      <c r="J302" s="1">
        <v>15</v>
      </c>
      <c r="K302" s="1">
        <v>22</v>
      </c>
      <c r="L302" s="1">
        <v>22</v>
      </c>
    </row>
    <row r="303" spans="1:12" x14ac:dyDescent="0.25">
      <c r="A303" s="1" t="s">
        <v>24</v>
      </c>
      <c r="B303" s="1">
        <v>0</v>
      </c>
      <c r="C303" s="1">
        <v>0</v>
      </c>
      <c r="D303" s="1">
        <v>6</v>
      </c>
      <c r="E303" s="1">
        <v>6</v>
      </c>
      <c r="F303" s="1">
        <v>7</v>
      </c>
      <c r="G303" s="1">
        <v>12</v>
      </c>
      <c r="H303" s="1">
        <v>15</v>
      </c>
      <c r="I303" s="1">
        <v>17</v>
      </c>
      <c r="J303" s="1">
        <v>19</v>
      </c>
      <c r="K303" s="1">
        <v>19</v>
      </c>
      <c r="L303" s="1">
        <v>19</v>
      </c>
    </row>
    <row r="304" spans="1:12" x14ac:dyDescent="0.25">
      <c r="A304" s="1" t="s">
        <v>26</v>
      </c>
      <c r="B304" s="1">
        <v>0</v>
      </c>
      <c r="C304" s="1">
        <v>0</v>
      </c>
      <c r="D304" s="1">
        <v>3</v>
      </c>
      <c r="E304" s="1">
        <v>3</v>
      </c>
      <c r="F304" s="1">
        <v>3</v>
      </c>
      <c r="G304" s="1">
        <v>6</v>
      </c>
      <c r="H304" s="1">
        <v>6</v>
      </c>
      <c r="I304" s="1">
        <v>7</v>
      </c>
      <c r="J304" s="1">
        <v>7</v>
      </c>
      <c r="K304" s="1">
        <v>7</v>
      </c>
      <c r="L304" s="1">
        <v>7</v>
      </c>
    </row>
    <row r="305" spans="1:12" x14ac:dyDescent="0.25">
      <c r="A305" s="1" t="s">
        <v>7</v>
      </c>
      <c r="B305" s="1">
        <v>0</v>
      </c>
      <c r="C305" s="1">
        <v>2</v>
      </c>
      <c r="D305" s="1">
        <v>7</v>
      </c>
      <c r="E305" s="1">
        <v>7</v>
      </c>
      <c r="F305" s="1">
        <v>8</v>
      </c>
      <c r="G305" s="1">
        <v>8</v>
      </c>
      <c r="H305" s="1">
        <v>14</v>
      </c>
      <c r="I305" s="1">
        <v>17</v>
      </c>
      <c r="J305" s="1">
        <v>18</v>
      </c>
      <c r="K305" s="1">
        <v>26</v>
      </c>
      <c r="L305" s="1">
        <v>28</v>
      </c>
    </row>
    <row r="306" spans="1:12" x14ac:dyDescent="0.25">
      <c r="A306" s="1" t="s">
        <v>10</v>
      </c>
      <c r="B306" s="1">
        <v>0</v>
      </c>
      <c r="C306" s="1">
        <v>0</v>
      </c>
      <c r="D306" s="1">
        <v>0</v>
      </c>
      <c r="E306" s="1">
        <v>0</v>
      </c>
      <c r="F306" s="1">
        <v>0</v>
      </c>
      <c r="G306" s="1">
        <v>0</v>
      </c>
      <c r="H306" s="1">
        <v>0</v>
      </c>
      <c r="I306" s="1">
        <v>0</v>
      </c>
      <c r="J306" s="1">
        <v>2</v>
      </c>
      <c r="K306" s="1">
        <v>4</v>
      </c>
      <c r="L306" s="1">
        <v>4</v>
      </c>
    </row>
    <row r="309" spans="1:12" x14ac:dyDescent="0.25">
      <c r="A309" s="3" t="s">
        <v>172</v>
      </c>
    </row>
    <row r="310" spans="1:12" x14ac:dyDescent="0.25">
      <c r="B310" t="s">
        <v>14</v>
      </c>
      <c r="C310" t="s">
        <v>17</v>
      </c>
      <c r="D310" t="s">
        <v>21</v>
      </c>
      <c r="E310" t="s">
        <v>25</v>
      </c>
      <c r="F310" t="s">
        <v>13</v>
      </c>
      <c r="G310" t="s">
        <v>19</v>
      </c>
      <c r="H310" t="s">
        <v>20</v>
      </c>
      <c r="I310" t="s">
        <v>2</v>
      </c>
    </row>
    <row r="311" spans="1:12" x14ac:dyDescent="0.25">
      <c r="A311" s="1" t="s">
        <v>3</v>
      </c>
      <c r="B311" s="7">
        <v>0.7142857142857143</v>
      </c>
      <c r="C311" s="7">
        <v>0.5714285714285714</v>
      </c>
      <c r="D311" s="7">
        <v>0.66666666666666663</v>
      </c>
      <c r="E311" s="7">
        <v>0.33333333333333331</v>
      </c>
      <c r="F311" s="7">
        <v>0.5</v>
      </c>
      <c r="G311" s="7">
        <v>0.5</v>
      </c>
      <c r="H311" s="7">
        <v>0.8</v>
      </c>
      <c r="I311" s="7">
        <v>0.5</v>
      </c>
    </row>
    <row r="312" spans="1:12" x14ac:dyDescent="0.25">
      <c r="A312" s="1" t="s">
        <v>18</v>
      </c>
      <c r="B312" s="7">
        <v>1</v>
      </c>
      <c r="C312" s="7">
        <v>0.33333333333333331</v>
      </c>
      <c r="D312" s="7">
        <v>0.33333333333333331</v>
      </c>
      <c r="E312" s="7">
        <v>0</v>
      </c>
      <c r="F312" s="7"/>
      <c r="G312" s="7"/>
      <c r="H312" s="7"/>
      <c r="I312" s="7">
        <v>0</v>
      </c>
    </row>
    <row r="313" spans="1:12" x14ac:dyDescent="0.25">
      <c r="A313" s="1" t="s">
        <v>16</v>
      </c>
      <c r="B313" s="7">
        <v>0.2</v>
      </c>
      <c r="C313" s="7">
        <v>0.7142857142857143</v>
      </c>
      <c r="D313" s="7">
        <v>0.66666666666666663</v>
      </c>
      <c r="E313" s="7">
        <v>0.25</v>
      </c>
      <c r="F313" s="7">
        <v>0.5</v>
      </c>
      <c r="G313" s="7">
        <v>0</v>
      </c>
      <c r="H313" s="7">
        <v>0.33333333333333331</v>
      </c>
      <c r="I313" s="7">
        <v>0.5</v>
      </c>
    </row>
    <row r="314" spans="1:12" x14ac:dyDescent="0.25">
      <c r="A314" s="1" t="s">
        <v>22</v>
      </c>
      <c r="B314" s="7">
        <v>0.4</v>
      </c>
      <c r="C314" s="7">
        <v>0.5</v>
      </c>
      <c r="D314" s="7">
        <v>0</v>
      </c>
      <c r="E314" s="7">
        <v>0.66666666666666663</v>
      </c>
      <c r="F314" s="7">
        <v>1</v>
      </c>
      <c r="G314" s="7">
        <v>0.6</v>
      </c>
      <c r="H314" s="7">
        <v>0.75</v>
      </c>
      <c r="I314" s="7">
        <v>0.16666666666666666</v>
      </c>
    </row>
    <row r="315" spans="1:12" x14ac:dyDescent="0.25">
      <c r="A315" s="1" t="s">
        <v>4</v>
      </c>
      <c r="B315" s="7">
        <v>0.42857142857142855</v>
      </c>
      <c r="C315" s="7">
        <v>0.625</v>
      </c>
      <c r="D315" s="7">
        <v>1</v>
      </c>
      <c r="E315" s="7">
        <v>0.5</v>
      </c>
      <c r="F315" s="7">
        <v>0.75</v>
      </c>
      <c r="G315" s="7">
        <v>0.5</v>
      </c>
      <c r="H315" s="7">
        <v>0.6</v>
      </c>
      <c r="I315" s="7">
        <v>0.625</v>
      </c>
    </row>
    <row r="316" spans="1:12" x14ac:dyDescent="0.25">
      <c r="A316" s="1" t="s">
        <v>6</v>
      </c>
      <c r="B316" s="7">
        <v>0.5</v>
      </c>
      <c r="C316" s="7">
        <v>0.5</v>
      </c>
      <c r="D316" s="7">
        <v>0.5</v>
      </c>
      <c r="E316" s="7">
        <v>1</v>
      </c>
      <c r="F316" s="7">
        <v>0.75</v>
      </c>
      <c r="G316" s="7">
        <v>1</v>
      </c>
      <c r="H316" s="7">
        <v>0.25</v>
      </c>
      <c r="I316" s="7">
        <v>0.2857142857142857</v>
      </c>
    </row>
    <row r="317" spans="1:12" x14ac:dyDescent="0.25">
      <c r="A317" s="1" t="s">
        <v>5</v>
      </c>
      <c r="B317" s="7">
        <v>0.25</v>
      </c>
      <c r="C317" s="7">
        <v>0.5</v>
      </c>
      <c r="D317" s="7">
        <v>1</v>
      </c>
      <c r="E317" s="7">
        <v>0.5</v>
      </c>
      <c r="F317" s="7">
        <v>0.75</v>
      </c>
      <c r="G317" s="7">
        <v>0.4</v>
      </c>
      <c r="H317" s="7">
        <v>0.5</v>
      </c>
      <c r="I317" s="7">
        <v>0.7142857142857143</v>
      </c>
    </row>
    <row r="318" spans="1:12" x14ac:dyDescent="0.25">
      <c r="A318" s="1" t="s">
        <v>8</v>
      </c>
      <c r="B318" s="7">
        <v>0.5</v>
      </c>
      <c r="C318" s="7">
        <v>0.4</v>
      </c>
      <c r="D318" s="7">
        <v>1</v>
      </c>
      <c r="E318" s="7">
        <v>0.5</v>
      </c>
      <c r="F318" s="7">
        <v>0</v>
      </c>
      <c r="G318" s="7">
        <v>0.33333333333333331</v>
      </c>
      <c r="H318" s="7">
        <v>0.33333333333333331</v>
      </c>
      <c r="I318" s="7">
        <v>0.6</v>
      </c>
    </row>
    <row r="319" spans="1:12" x14ac:dyDescent="0.25">
      <c r="A319" s="1" t="s">
        <v>12</v>
      </c>
      <c r="B319" s="7">
        <v>0.5714285714285714</v>
      </c>
      <c r="C319" s="7">
        <v>0.42857142857142855</v>
      </c>
      <c r="D319" s="7">
        <v>0.33333333333333331</v>
      </c>
      <c r="E319" s="7">
        <v>0.25</v>
      </c>
      <c r="F319" s="7">
        <v>0.25</v>
      </c>
      <c r="G319" s="7">
        <v>0.6</v>
      </c>
      <c r="H319" s="7">
        <v>0.8</v>
      </c>
      <c r="I319" s="7">
        <v>0.5</v>
      </c>
    </row>
    <row r="320" spans="1:12" x14ac:dyDescent="0.25">
      <c r="A320" s="2" t="s">
        <v>23</v>
      </c>
      <c r="B320" s="7">
        <v>0.6</v>
      </c>
      <c r="C320" s="7">
        <v>0.33333333333333331</v>
      </c>
      <c r="D320" s="7">
        <v>0</v>
      </c>
      <c r="E320" s="7">
        <v>0.66666666666666663</v>
      </c>
      <c r="F320" s="7">
        <v>0.33333333333333331</v>
      </c>
      <c r="G320" s="7">
        <v>1</v>
      </c>
      <c r="H320" s="7">
        <v>0</v>
      </c>
      <c r="I320" s="7">
        <v>0.5</v>
      </c>
    </row>
    <row r="321" spans="1:9" x14ac:dyDescent="0.25">
      <c r="A321" s="2" t="s">
        <v>11</v>
      </c>
      <c r="B321" s="7">
        <v>0.4</v>
      </c>
      <c r="C321" s="7">
        <v>0.25</v>
      </c>
      <c r="D321" s="7">
        <v>0.5</v>
      </c>
      <c r="E321" s="7"/>
      <c r="F321" s="7">
        <v>0.33333333333333331</v>
      </c>
      <c r="G321" s="7">
        <v>1</v>
      </c>
      <c r="H321" s="7">
        <v>1</v>
      </c>
      <c r="I321" s="7">
        <v>0.5</v>
      </c>
    </row>
    <row r="322" spans="1:9" x14ac:dyDescent="0.25">
      <c r="A322" s="1" t="s">
        <v>9</v>
      </c>
      <c r="B322" s="7">
        <v>0.25</v>
      </c>
      <c r="C322" s="7">
        <v>0.33333333333333331</v>
      </c>
      <c r="D322" s="7"/>
      <c r="E322" s="7">
        <v>0.5</v>
      </c>
      <c r="F322" s="7">
        <v>0</v>
      </c>
      <c r="G322" s="7">
        <v>1</v>
      </c>
      <c r="H322" s="7">
        <v>0.5</v>
      </c>
      <c r="I322" s="7">
        <v>0.2857142857142857</v>
      </c>
    </row>
    <row r="323" spans="1:9" x14ac:dyDescent="0.25">
      <c r="A323" s="1" t="s">
        <v>24</v>
      </c>
      <c r="B323" s="7">
        <v>0.5</v>
      </c>
      <c r="C323" s="7">
        <v>0.33333333333333331</v>
      </c>
      <c r="D323" s="7"/>
      <c r="E323" s="7">
        <v>0.5</v>
      </c>
      <c r="F323" s="7">
        <v>1</v>
      </c>
      <c r="G323" s="7">
        <v>0.33333333333333331</v>
      </c>
      <c r="H323" s="7">
        <v>0</v>
      </c>
      <c r="I323" s="7">
        <v>0.33333333333333331</v>
      </c>
    </row>
    <row r="324" spans="1:9" x14ac:dyDescent="0.25">
      <c r="A324" s="1" t="s">
        <v>26</v>
      </c>
      <c r="B324" s="7">
        <v>1</v>
      </c>
      <c r="C324" s="7">
        <v>0</v>
      </c>
      <c r="D324" s="7"/>
      <c r="E324" s="7">
        <v>1</v>
      </c>
      <c r="F324" s="7"/>
      <c r="G324" s="7">
        <v>0</v>
      </c>
      <c r="H324" s="7">
        <v>0</v>
      </c>
      <c r="I324" s="7">
        <v>1</v>
      </c>
    </row>
    <row r="325" spans="1:9" x14ac:dyDescent="0.25">
      <c r="A325" s="1" t="s">
        <v>7</v>
      </c>
      <c r="B325" s="7">
        <v>1</v>
      </c>
      <c r="C325" s="7">
        <v>1</v>
      </c>
      <c r="D325" s="7">
        <v>0</v>
      </c>
      <c r="E325" s="7">
        <v>0.5</v>
      </c>
      <c r="F325" s="7">
        <v>0.66666666666666663</v>
      </c>
      <c r="G325" s="7">
        <v>0.33333333333333331</v>
      </c>
      <c r="H325" s="7">
        <v>1</v>
      </c>
      <c r="I325" s="7">
        <v>0.8571428571428571</v>
      </c>
    </row>
    <row r="326" spans="1:9" x14ac:dyDescent="0.25">
      <c r="A326" s="1" t="s">
        <v>10</v>
      </c>
      <c r="B326" s="7"/>
      <c r="C326" s="7"/>
      <c r="D326" s="7"/>
      <c r="E326" s="7"/>
      <c r="F326" s="7">
        <v>0</v>
      </c>
      <c r="G326" s="7"/>
      <c r="H326" s="7">
        <v>0</v>
      </c>
      <c r="I326" s="7">
        <v>0</v>
      </c>
    </row>
    <row r="329" spans="1:9" x14ac:dyDescent="0.25">
      <c r="A329" s="3" t="s">
        <v>173</v>
      </c>
    </row>
    <row r="330" spans="1:9" x14ac:dyDescent="0.25">
      <c r="B330" t="s">
        <v>14</v>
      </c>
      <c r="C330" t="s">
        <v>17</v>
      </c>
      <c r="D330" t="s">
        <v>21</v>
      </c>
      <c r="E330" t="s">
        <v>25</v>
      </c>
      <c r="F330" t="s">
        <v>13</v>
      </c>
      <c r="G330" t="s">
        <v>19</v>
      </c>
      <c r="H330" t="s">
        <v>20</v>
      </c>
      <c r="I330" t="s">
        <v>2</v>
      </c>
    </row>
    <row r="331" spans="1:9" x14ac:dyDescent="0.25">
      <c r="A331" s="1" t="s">
        <v>3</v>
      </c>
      <c r="B331" s="1">
        <v>5</v>
      </c>
      <c r="C331" s="1">
        <v>4</v>
      </c>
      <c r="D331" s="1">
        <v>2</v>
      </c>
      <c r="E331" s="1">
        <v>1</v>
      </c>
      <c r="F331" s="1">
        <v>2</v>
      </c>
      <c r="G331" s="1">
        <v>2</v>
      </c>
      <c r="H331" s="1">
        <v>4</v>
      </c>
      <c r="I331" s="1">
        <v>3</v>
      </c>
    </row>
    <row r="332" spans="1:9" x14ac:dyDescent="0.25">
      <c r="A332" s="1" t="s">
        <v>18</v>
      </c>
      <c r="B332" s="1">
        <v>1</v>
      </c>
      <c r="C332" s="1">
        <v>1</v>
      </c>
      <c r="D332" s="1">
        <v>1</v>
      </c>
      <c r="E332" s="1">
        <v>0</v>
      </c>
      <c r="I332" s="1">
        <v>0</v>
      </c>
    </row>
    <row r="333" spans="1:9" x14ac:dyDescent="0.25">
      <c r="A333" s="1" t="s">
        <v>16</v>
      </c>
      <c r="B333" s="1">
        <v>1</v>
      </c>
      <c r="C333" s="1">
        <v>5</v>
      </c>
      <c r="D333" s="1">
        <v>2</v>
      </c>
      <c r="E333" s="1">
        <v>1</v>
      </c>
      <c r="F333" s="1">
        <v>1</v>
      </c>
      <c r="G333" s="1">
        <v>0</v>
      </c>
      <c r="H333" s="1">
        <v>1</v>
      </c>
      <c r="I333" s="1">
        <v>3</v>
      </c>
    </row>
    <row r="334" spans="1:9" x14ac:dyDescent="0.25">
      <c r="A334" s="1" t="s">
        <v>22</v>
      </c>
      <c r="B334" s="1">
        <v>2</v>
      </c>
      <c r="C334" s="1">
        <v>3</v>
      </c>
      <c r="D334" s="1">
        <v>0</v>
      </c>
      <c r="E334" s="1">
        <v>2</v>
      </c>
      <c r="F334" s="1">
        <v>2</v>
      </c>
      <c r="G334" s="1">
        <v>3</v>
      </c>
      <c r="H334" s="1">
        <v>3</v>
      </c>
      <c r="I334" s="1">
        <v>1</v>
      </c>
    </row>
    <row r="335" spans="1:9" x14ac:dyDescent="0.25">
      <c r="A335" s="1" t="s">
        <v>4</v>
      </c>
      <c r="B335" s="1">
        <v>3</v>
      </c>
      <c r="C335" s="1">
        <v>5</v>
      </c>
      <c r="D335" s="1">
        <v>3</v>
      </c>
      <c r="E335" s="1">
        <v>2</v>
      </c>
      <c r="F335" s="1">
        <v>3</v>
      </c>
      <c r="G335" s="1">
        <v>2</v>
      </c>
      <c r="H335" s="1">
        <v>3</v>
      </c>
      <c r="I335" s="1">
        <v>5</v>
      </c>
    </row>
    <row r="336" spans="1:9" x14ac:dyDescent="0.25">
      <c r="A336" s="1" t="s">
        <v>6</v>
      </c>
      <c r="B336" s="1">
        <v>3</v>
      </c>
      <c r="C336" s="1">
        <v>3</v>
      </c>
      <c r="D336" s="1">
        <v>1</v>
      </c>
      <c r="E336" s="1">
        <v>2</v>
      </c>
      <c r="F336" s="1">
        <v>3</v>
      </c>
      <c r="G336" s="1">
        <v>5</v>
      </c>
      <c r="H336" s="1">
        <v>1</v>
      </c>
      <c r="I336" s="1">
        <v>2</v>
      </c>
    </row>
    <row r="337" spans="1:9" x14ac:dyDescent="0.25">
      <c r="A337" s="1" t="s">
        <v>5</v>
      </c>
      <c r="B337" s="1">
        <v>2</v>
      </c>
      <c r="C337" s="1">
        <v>4</v>
      </c>
      <c r="D337" s="1">
        <v>3</v>
      </c>
      <c r="E337" s="1">
        <v>2</v>
      </c>
      <c r="F337" s="1">
        <v>3</v>
      </c>
      <c r="G337" s="1">
        <v>2</v>
      </c>
      <c r="H337" s="1">
        <v>2</v>
      </c>
      <c r="I337" s="1">
        <v>5</v>
      </c>
    </row>
    <row r="338" spans="1:9" x14ac:dyDescent="0.25">
      <c r="A338" s="1" t="s">
        <v>8</v>
      </c>
      <c r="B338" s="1">
        <v>3</v>
      </c>
      <c r="C338" s="1">
        <v>2</v>
      </c>
      <c r="D338" s="1">
        <v>1</v>
      </c>
      <c r="E338" s="1">
        <v>2</v>
      </c>
      <c r="F338" s="1">
        <v>0</v>
      </c>
      <c r="G338" s="1">
        <v>1</v>
      </c>
      <c r="H338" s="1">
        <v>1</v>
      </c>
      <c r="I338" s="1">
        <v>3</v>
      </c>
    </row>
    <row r="339" spans="1:9" x14ac:dyDescent="0.25">
      <c r="A339" s="1" t="s">
        <v>12</v>
      </c>
      <c r="B339" s="1">
        <v>4</v>
      </c>
      <c r="C339" s="1">
        <v>3</v>
      </c>
      <c r="D339" s="1">
        <v>1</v>
      </c>
      <c r="E339" s="1">
        <v>1</v>
      </c>
      <c r="F339" s="1">
        <v>1</v>
      </c>
      <c r="G339" s="1">
        <v>3</v>
      </c>
      <c r="H339" s="1">
        <v>4</v>
      </c>
      <c r="I339" s="1">
        <v>4</v>
      </c>
    </row>
    <row r="340" spans="1:9" x14ac:dyDescent="0.25">
      <c r="A340" s="2" t="s">
        <v>23</v>
      </c>
      <c r="B340" s="1">
        <v>3</v>
      </c>
      <c r="C340" s="1">
        <v>1</v>
      </c>
      <c r="D340" s="1">
        <v>0</v>
      </c>
      <c r="E340" s="1">
        <v>2</v>
      </c>
      <c r="F340" s="1">
        <v>1</v>
      </c>
      <c r="G340" s="1">
        <v>1</v>
      </c>
      <c r="H340" s="1">
        <v>0</v>
      </c>
      <c r="I340" s="1">
        <v>2</v>
      </c>
    </row>
    <row r="341" spans="1:9" x14ac:dyDescent="0.25">
      <c r="A341" s="2" t="s">
        <v>11</v>
      </c>
      <c r="B341" s="1">
        <v>2</v>
      </c>
      <c r="C341" s="1">
        <v>1</v>
      </c>
      <c r="D341" s="1">
        <v>1</v>
      </c>
      <c r="F341" s="1">
        <v>1</v>
      </c>
      <c r="G341" s="1">
        <v>2</v>
      </c>
      <c r="H341" s="1">
        <v>2</v>
      </c>
      <c r="I341" s="1">
        <v>1</v>
      </c>
    </row>
    <row r="342" spans="1:9" x14ac:dyDescent="0.25">
      <c r="A342" s="1" t="s">
        <v>9</v>
      </c>
      <c r="B342" s="1">
        <v>1</v>
      </c>
      <c r="C342" s="1">
        <v>1</v>
      </c>
      <c r="E342" s="1">
        <v>1</v>
      </c>
      <c r="F342" s="1">
        <v>0</v>
      </c>
      <c r="G342" s="1">
        <v>2</v>
      </c>
      <c r="H342" s="1">
        <v>1</v>
      </c>
      <c r="I342" s="1">
        <v>2</v>
      </c>
    </row>
    <row r="343" spans="1:9" x14ac:dyDescent="0.25">
      <c r="A343" s="1" t="s">
        <v>24</v>
      </c>
      <c r="B343" s="1">
        <v>2</v>
      </c>
      <c r="C343" s="1">
        <v>1</v>
      </c>
      <c r="E343" s="1">
        <v>1</v>
      </c>
      <c r="F343" s="1">
        <v>1</v>
      </c>
      <c r="G343" s="1">
        <v>1</v>
      </c>
      <c r="H343" s="1">
        <v>0</v>
      </c>
      <c r="I343" s="1">
        <v>1</v>
      </c>
    </row>
    <row r="344" spans="1:9" x14ac:dyDescent="0.25">
      <c r="A344" s="1" t="s">
        <v>26</v>
      </c>
      <c r="B344" s="1">
        <v>1</v>
      </c>
      <c r="C344" s="1">
        <v>0</v>
      </c>
      <c r="E344" s="1">
        <v>1</v>
      </c>
      <c r="G344" s="1">
        <v>0</v>
      </c>
      <c r="H344" s="1">
        <v>0</v>
      </c>
      <c r="I344" s="1">
        <v>1</v>
      </c>
    </row>
    <row r="345" spans="1:9" x14ac:dyDescent="0.25">
      <c r="A345" s="1" t="s">
        <v>7</v>
      </c>
      <c r="B345" s="1">
        <v>5</v>
      </c>
      <c r="C345" s="1">
        <v>5</v>
      </c>
      <c r="D345" s="1">
        <v>0</v>
      </c>
      <c r="E345" s="1">
        <v>1</v>
      </c>
      <c r="F345" s="1">
        <v>2</v>
      </c>
      <c r="G345" s="1">
        <v>1</v>
      </c>
      <c r="H345" s="1">
        <v>2</v>
      </c>
      <c r="I345" s="1">
        <v>6</v>
      </c>
    </row>
    <row r="346" spans="1:9" x14ac:dyDescent="0.25">
      <c r="A346" s="1" t="s">
        <v>10</v>
      </c>
      <c r="F346" s="1">
        <v>0</v>
      </c>
      <c r="H346" s="1">
        <v>0</v>
      </c>
      <c r="I346" s="1">
        <v>0</v>
      </c>
    </row>
    <row r="349" spans="1:9" x14ac:dyDescent="0.25">
      <c r="A349" s="3" t="s">
        <v>174</v>
      </c>
    </row>
    <row r="350" spans="1:9" x14ac:dyDescent="0.25">
      <c r="B350" t="s">
        <v>14</v>
      </c>
      <c r="C350" t="s">
        <v>17</v>
      </c>
      <c r="D350" t="s">
        <v>21</v>
      </c>
      <c r="E350" t="s">
        <v>25</v>
      </c>
      <c r="F350" t="s">
        <v>13</v>
      </c>
      <c r="G350" t="s">
        <v>19</v>
      </c>
      <c r="H350" t="s">
        <v>20</v>
      </c>
      <c r="I350" t="s">
        <v>2</v>
      </c>
    </row>
    <row r="351" spans="1:9" x14ac:dyDescent="0.25">
      <c r="A351" s="1" t="s">
        <v>3</v>
      </c>
      <c r="B351" s="1">
        <v>7</v>
      </c>
      <c r="C351" s="1">
        <v>7</v>
      </c>
      <c r="D351" s="1">
        <v>3</v>
      </c>
      <c r="E351" s="1">
        <v>3</v>
      </c>
      <c r="F351" s="1">
        <v>4</v>
      </c>
      <c r="G351" s="1">
        <v>4</v>
      </c>
      <c r="H351" s="1">
        <v>5</v>
      </c>
      <c r="I351" s="1">
        <v>6</v>
      </c>
    </row>
    <row r="352" spans="1:9" x14ac:dyDescent="0.25">
      <c r="A352" s="1" t="s">
        <v>18</v>
      </c>
      <c r="B352" s="1">
        <v>1</v>
      </c>
      <c r="C352" s="1">
        <v>3</v>
      </c>
      <c r="D352" s="1">
        <v>3</v>
      </c>
      <c r="E352" s="1">
        <v>1</v>
      </c>
      <c r="I352" s="1">
        <v>1</v>
      </c>
    </row>
    <row r="353" spans="1:9" x14ac:dyDescent="0.25">
      <c r="A353" s="1" t="s">
        <v>16</v>
      </c>
      <c r="B353" s="1">
        <v>5</v>
      </c>
      <c r="C353" s="1">
        <v>7</v>
      </c>
      <c r="D353" s="1">
        <v>3</v>
      </c>
      <c r="E353" s="1">
        <v>4</v>
      </c>
      <c r="F353" s="1">
        <v>2</v>
      </c>
      <c r="G353" s="1">
        <v>3</v>
      </c>
      <c r="H353" s="1">
        <v>3</v>
      </c>
      <c r="I353" s="1">
        <v>6</v>
      </c>
    </row>
    <row r="354" spans="1:9" x14ac:dyDescent="0.25">
      <c r="A354" s="1" t="s">
        <v>22</v>
      </c>
      <c r="B354" s="1">
        <v>5</v>
      </c>
      <c r="C354" s="1">
        <v>6</v>
      </c>
      <c r="D354" s="1">
        <v>3</v>
      </c>
      <c r="E354" s="1">
        <v>3</v>
      </c>
      <c r="F354" s="1">
        <v>2</v>
      </c>
      <c r="G354" s="1">
        <v>5</v>
      </c>
      <c r="H354" s="1">
        <v>4</v>
      </c>
      <c r="I354" s="1">
        <v>6</v>
      </c>
    </row>
    <row r="355" spans="1:9" x14ac:dyDescent="0.25">
      <c r="A355" s="1" t="s">
        <v>4</v>
      </c>
      <c r="B355" s="1">
        <v>7</v>
      </c>
      <c r="C355" s="1">
        <v>8</v>
      </c>
      <c r="D355" s="1">
        <v>3</v>
      </c>
      <c r="E355" s="1">
        <v>4</v>
      </c>
      <c r="F355" s="1">
        <v>4</v>
      </c>
      <c r="G355" s="1">
        <v>4</v>
      </c>
      <c r="H355" s="1">
        <v>5</v>
      </c>
      <c r="I355" s="1">
        <v>8</v>
      </c>
    </row>
    <row r="356" spans="1:9" x14ac:dyDescent="0.25">
      <c r="A356" s="1" t="s">
        <v>6</v>
      </c>
      <c r="B356" s="1">
        <v>6</v>
      </c>
      <c r="C356" s="1">
        <v>6</v>
      </c>
      <c r="D356" s="1">
        <v>2</v>
      </c>
      <c r="E356" s="1">
        <v>2</v>
      </c>
      <c r="F356" s="1">
        <v>4</v>
      </c>
      <c r="G356" s="1">
        <v>5</v>
      </c>
      <c r="H356" s="1">
        <v>4</v>
      </c>
      <c r="I356" s="1">
        <v>7</v>
      </c>
    </row>
    <row r="357" spans="1:9" x14ac:dyDescent="0.25">
      <c r="A357" s="1" t="s">
        <v>5</v>
      </c>
      <c r="B357" s="1">
        <v>8</v>
      </c>
      <c r="C357" s="1">
        <v>8</v>
      </c>
      <c r="D357" s="1">
        <v>3</v>
      </c>
      <c r="E357" s="1">
        <v>4</v>
      </c>
      <c r="F357" s="1">
        <v>4</v>
      </c>
      <c r="G357" s="1">
        <v>5</v>
      </c>
      <c r="H357" s="1">
        <v>4</v>
      </c>
      <c r="I357" s="1">
        <v>7</v>
      </c>
    </row>
    <row r="358" spans="1:9" x14ac:dyDescent="0.25">
      <c r="A358" s="1" t="s">
        <v>8</v>
      </c>
      <c r="B358" s="1">
        <v>6</v>
      </c>
      <c r="C358" s="1">
        <v>5</v>
      </c>
      <c r="D358" s="1">
        <v>1</v>
      </c>
      <c r="E358" s="1">
        <v>4</v>
      </c>
      <c r="F358" s="1">
        <v>2</v>
      </c>
      <c r="G358" s="1">
        <v>3</v>
      </c>
      <c r="H358" s="1">
        <v>3</v>
      </c>
      <c r="I358" s="1">
        <v>5</v>
      </c>
    </row>
    <row r="359" spans="1:9" x14ac:dyDescent="0.25">
      <c r="A359" s="1" t="s">
        <v>12</v>
      </c>
      <c r="B359" s="1">
        <v>7</v>
      </c>
      <c r="C359" s="1">
        <v>7</v>
      </c>
      <c r="D359" s="1">
        <v>3</v>
      </c>
      <c r="E359" s="1">
        <v>4</v>
      </c>
      <c r="F359" s="1">
        <v>4</v>
      </c>
      <c r="G359" s="1">
        <v>5</v>
      </c>
      <c r="H359" s="1">
        <v>5</v>
      </c>
      <c r="I359" s="1">
        <v>8</v>
      </c>
    </row>
    <row r="360" spans="1:9" x14ac:dyDescent="0.25">
      <c r="A360" s="2" t="s">
        <v>23</v>
      </c>
      <c r="B360" s="1">
        <v>5</v>
      </c>
      <c r="C360" s="1">
        <v>3</v>
      </c>
      <c r="D360" s="1">
        <v>3</v>
      </c>
      <c r="E360" s="1">
        <v>3</v>
      </c>
      <c r="F360" s="1">
        <v>3</v>
      </c>
      <c r="G360" s="1">
        <v>1</v>
      </c>
      <c r="H360" s="1">
        <v>3</v>
      </c>
      <c r="I360" s="1">
        <v>4</v>
      </c>
    </row>
    <row r="361" spans="1:9" x14ac:dyDescent="0.25">
      <c r="A361" s="2" t="s">
        <v>11</v>
      </c>
      <c r="B361" s="1">
        <v>5</v>
      </c>
      <c r="C361" s="1">
        <v>4</v>
      </c>
      <c r="D361" s="1">
        <v>2</v>
      </c>
      <c r="F361" s="1">
        <v>3</v>
      </c>
      <c r="G361" s="1">
        <v>2</v>
      </c>
      <c r="H361" s="1">
        <v>2</v>
      </c>
      <c r="I361" s="1">
        <v>2</v>
      </c>
    </row>
    <row r="362" spans="1:9" x14ac:dyDescent="0.25">
      <c r="A362" s="1" t="s">
        <v>9</v>
      </c>
      <c r="B362" s="1">
        <v>4</v>
      </c>
      <c r="C362" s="1">
        <v>3</v>
      </c>
      <c r="E362" s="1">
        <v>2</v>
      </c>
      <c r="F362" s="1">
        <v>2</v>
      </c>
      <c r="G362" s="1">
        <v>2</v>
      </c>
      <c r="H362" s="1">
        <v>2</v>
      </c>
      <c r="I362" s="1">
        <v>7</v>
      </c>
    </row>
    <row r="363" spans="1:9" x14ac:dyDescent="0.25">
      <c r="A363" s="1" t="s">
        <v>24</v>
      </c>
      <c r="B363" s="1">
        <v>4</v>
      </c>
      <c r="C363" s="1">
        <v>3</v>
      </c>
      <c r="E363" s="1">
        <v>2</v>
      </c>
      <c r="F363" s="1">
        <v>1</v>
      </c>
      <c r="G363" s="1">
        <v>3</v>
      </c>
      <c r="H363" s="1">
        <v>3</v>
      </c>
      <c r="I363" s="1">
        <v>3</v>
      </c>
    </row>
    <row r="364" spans="1:9" x14ac:dyDescent="0.25">
      <c r="A364" s="1" t="s">
        <v>26</v>
      </c>
      <c r="B364" s="1">
        <v>1</v>
      </c>
      <c r="C364" s="1">
        <v>1</v>
      </c>
      <c r="E364" s="1">
        <v>1</v>
      </c>
      <c r="G364" s="1">
        <v>1</v>
      </c>
      <c r="H364" s="1">
        <v>2</v>
      </c>
      <c r="I364" s="1">
        <v>1</v>
      </c>
    </row>
    <row r="365" spans="1:9" x14ac:dyDescent="0.25">
      <c r="A365" s="1" t="s">
        <v>7</v>
      </c>
      <c r="B365" s="1">
        <v>5</v>
      </c>
      <c r="C365" s="1">
        <v>5</v>
      </c>
      <c r="D365" s="1">
        <v>1</v>
      </c>
      <c r="E365" s="1">
        <v>2</v>
      </c>
      <c r="F365" s="1">
        <v>3</v>
      </c>
      <c r="G365" s="1">
        <v>3</v>
      </c>
      <c r="H365" s="1">
        <v>2</v>
      </c>
      <c r="I365" s="1">
        <v>7</v>
      </c>
    </row>
    <row r="366" spans="1:9" x14ac:dyDescent="0.25">
      <c r="A366" s="1" t="s">
        <v>10</v>
      </c>
      <c r="F366" s="1">
        <v>2</v>
      </c>
      <c r="H366" s="1">
        <v>1</v>
      </c>
      <c r="I366" s="1">
        <v>1</v>
      </c>
    </row>
  </sheetData>
  <mergeCells count="3">
    <mergeCell ref="B149:Q149"/>
    <mergeCell ref="M19:N22"/>
    <mergeCell ref="M18:N18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Main.Main">
                <anchor moveWithCells="1" sizeWithCells="1">
                  <from>
                    <xdr:col>12</xdr:col>
                    <xdr:colOff>209550</xdr:colOff>
                    <xdr:row>18</xdr:row>
                    <xdr:rowOff>114300</xdr:rowOff>
                  </from>
                  <to>
                    <xdr:col>13</xdr:col>
                    <xdr:colOff>342900</xdr:colOff>
                    <xdr:row>21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theme="6" tint="0.79998168889431442"/>
  </sheetPr>
  <dimension ref="A1:AG17"/>
  <sheetViews>
    <sheetView zoomScale="85" zoomScaleNormal="85" workbookViewId="0">
      <selection activeCell="R2" sqref="R2:AG17"/>
    </sheetView>
  </sheetViews>
  <sheetFormatPr defaultRowHeight="15" x14ac:dyDescent="0.25"/>
  <cols>
    <col min="1" max="1" width="11" customWidth="1"/>
    <col min="2" max="2" width="9.42578125" customWidth="1"/>
    <col min="3" max="3" width="10.5703125" customWidth="1"/>
    <col min="4" max="7" width="9.42578125" customWidth="1"/>
    <col min="8" max="8" width="9.5703125" customWidth="1"/>
    <col min="9" max="9" width="12.5703125" customWidth="1"/>
    <col min="10" max="17" width="9.42578125" customWidth="1"/>
    <col min="18" max="18" width="11.42578125" customWidth="1"/>
    <col min="19" max="19" width="11" customWidth="1"/>
    <col min="20" max="20" width="9.42578125" customWidth="1"/>
    <col min="21" max="21" width="11.5703125" customWidth="1"/>
    <col min="22" max="23" width="9.42578125" customWidth="1"/>
    <col min="24" max="24" width="10.28515625" customWidth="1"/>
    <col min="25" max="25" width="9.42578125" customWidth="1"/>
    <col min="26" max="26" width="11.5703125" customWidth="1"/>
    <col min="27" max="27" width="8.85546875" bestFit="1" customWidth="1"/>
    <col min="28" max="28" width="11.140625" customWidth="1"/>
    <col min="29" max="29" width="10" customWidth="1"/>
    <col min="30" max="30" width="11.140625" customWidth="1"/>
    <col min="31" max="33" width="9.42578125" customWidth="1"/>
  </cols>
  <sheetData>
    <row r="1" spans="1:33" x14ac:dyDescent="0.25">
      <c r="A1" s="1" t="s">
        <v>27</v>
      </c>
      <c r="B1" s="1" t="s">
        <v>3</v>
      </c>
      <c r="C1" s="1" t="s">
        <v>18</v>
      </c>
      <c r="D1" s="1" t="s">
        <v>16</v>
      </c>
      <c r="E1" s="1" t="s">
        <v>22</v>
      </c>
      <c r="F1" s="1" t="s">
        <v>4</v>
      </c>
      <c r="G1" s="1" t="s">
        <v>6</v>
      </c>
      <c r="H1" s="1" t="s">
        <v>5</v>
      </c>
      <c r="I1" s="1" t="s">
        <v>8</v>
      </c>
      <c r="J1" s="1" t="s">
        <v>12</v>
      </c>
      <c r="K1" s="2" t="s">
        <v>23</v>
      </c>
      <c r="L1" s="2" t="s">
        <v>11</v>
      </c>
      <c r="M1" s="1" t="s">
        <v>9</v>
      </c>
      <c r="N1" s="1" t="s">
        <v>24</v>
      </c>
      <c r="O1" s="1" t="s">
        <v>26</v>
      </c>
      <c r="P1" s="1" t="s">
        <v>7</v>
      </c>
      <c r="Q1" s="1" t="s">
        <v>10</v>
      </c>
      <c r="R1" s="1" t="s">
        <v>35</v>
      </c>
      <c r="S1" s="1" t="s">
        <v>36</v>
      </c>
      <c r="T1" s="1" t="s">
        <v>37</v>
      </c>
      <c r="U1" s="1" t="s">
        <v>38</v>
      </c>
      <c r="V1" s="1" t="s">
        <v>39</v>
      </c>
      <c r="W1" s="1" t="s">
        <v>40</v>
      </c>
      <c r="X1" s="1" t="s">
        <v>41</v>
      </c>
      <c r="Y1" s="1" t="s">
        <v>42</v>
      </c>
      <c r="Z1" s="1" t="s">
        <v>43</v>
      </c>
      <c r="AA1" s="2" t="s">
        <v>28</v>
      </c>
      <c r="AB1" s="2" t="s">
        <v>44</v>
      </c>
      <c r="AC1" s="1" t="s">
        <v>45</v>
      </c>
      <c r="AD1" s="1" t="s">
        <v>46</v>
      </c>
      <c r="AE1" s="1" t="s">
        <v>47</v>
      </c>
      <c r="AF1" s="1" t="s">
        <v>48</v>
      </c>
      <c r="AG1" s="1" t="s">
        <v>49</v>
      </c>
    </row>
    <row r="2" spans="1:33" x14ac:dyDescent="0.25">
      <c r="A2" s="1" t="s">
        <v>3</v>
      </c>
      <c r="B2" s="7" t="s">
        <v>32</v>
      </c>
      <c r="C2" s="7">
        <v>0.6</v>
      </c>
      <c r="D2" s="7">
        <v>0.5</v>
      </c>
      <c r="E2" s="7">
        <v>0.46153846153846156</v>
      </c>
      <c r="F2" s="7">
        <v>0.6470588235294118</v>
      </c>
      <c r="G2" s="7">
        <v>0.7142857142857143</v>
      </c>
      <c r="H2" s="7">
        <v>0.69230769230769229</v>
      </c>
      <c r="I2" s="7">
        <v>0.8</v>
      </c>
      <c r="J2" s="7">
        <v>0.56000000000000005</v>
      </c>
      <c r="K2" s="7">
        <v>0.5</v>
      </c>
      <c r="L2" s="7">
        <v>0.63636363636363635</v>
      </c>
      <c r="M2" s="7">
        <v>0.33333333333333331</v>
      </c>
      <c r="N2" s="7">
        <v>0.25</v>
      </c>
      <c r="O2" s="7">
        <v>0</v>
      </c>
      <c r="P2" s="7">
        <v>0.8125</v>
      </c>
      <c r="Q2" s="7">
        <v>0</v>
      </c>
      <c r="R2" t="s">
        <v>32</v>
      </c>
      <c r="S2" t="s">
        <v>74</v>
      </c>
      <c r="T2" s="8" t="s">
        <v>102</v>
      </c>
      <c r="U2" s="8" t="s">
        <v>180</v>
      </c>
      <c r="V2" s="8" t="s">
        <v>146</v>
      </c>
      <c r="W2" s="8" t="s">
        <v>142</v>
      </c>
      <c r="X2" s="8" t="s">
        <v>108</v>
      </c>
      <c r="Y2" s="8" t="s">
        <v>104</v>
      </c>
      <c r="Z2" s="8" t="s">
        <v>181</v>
      </c>
      <c r="AA2" s="8" t="s">
        <v>57</v>
      </c>
      <c r="AB2" s="8" t="s">
        <v>58</v>
      </c>
      <c r="AC2" s="8" t="s">
        <v>63</v>
      </c>
      <c r="AD2" s="8" t="s">
        <v>69</v>
      </c>
      <c r="AE2" s="8" t="s">
        <v>66</v>
      </c>
      <c r="AF2" s="8" t="s">
        <v>182</v>
      </c>
      <c r="AG2" s="8" t="s">
        <v>60</v>
      </c>
    </row>
    <row r="3" spans="1:33" x14ac:dyDescent="0.25">
      <c r="A3" s="1" t="s">
        <v>18</v>
      </c>
      <c r="B3" s="7">
        <v>0.6</v>
      </c>
      <c r="C3" s="7" t="s">
        <v>32</v>
      </c>
      <c r="D3" s="7">
        <v>1</v>
      </c>
      <c r="E3" s="7">
        <v>0</v>
      </c>
      <c r="F3" s="7">
        <v>0.5</v>
      </c>
      <c r="G3" s="7">
        <v>0</v>
      </c>
      <c r="H3" s="7">
        <v>0.25</v>
      </c>
      <c r="I3" s="7">
        <v>0.5</v>
      </c>
      <c r="J3" s="7">
        <v>0.25</v>
      </c>
      <c r="K3" s="7">
        <v>0.2</v>
      </c>
      <c r="L3" s="7">
        <v>0.5</v>
      </c>
      <c r="M3" s="7">
        <v>0</v>
      </c>
      <c r="N3" s="7" t="s">
        <v>32</v>
      </c>
      <c r="O3" s="7" t="s">
        <v>32</v>
      </c>
      <c r="P3" s="7">
        <v>0.5</v>
      </c>
      <c r="Q3" s="7" t="s">
        <v>32</v>
      </c>
      <c r="R3" t="s">
        <v>74</v>
      </c>
      <c r="S3" t="s">
        <v>32</v>
      </c>
      <c r="T3" s="8" t="s">
        <v>61</v>
      </c>
      <c r="U3" s="8" t="s">
        <v>88</v>
      </c>
      <c r="V3" s="8" t="s">
        <v>59</v>
      </c>
      <c r="W3" s="8" t="s">
        <v>60</v>
      </c>
      <c r="X3" s="8" t="s">
        <v>69</v>
      </c>
      <c r="Y3" s="8" t="s">
        <v>59</v>
      </c>
      <c r="Z3" s="8" t="s">
        <v>69</v>
      </c>
      <c r="AA3" s="8" t="s">
        <v>64</v>
      </c>
      <c r="AB3" s="8" t="s">
        <v>65</v>
      </c>
      <c r="AC3" s="8" t="s">
        <v>66</v>
      </c>
      <c r="AD3" s="8" t="s">
        <v>32</v>
      </c>
      <c r="AE3" s="8" t="s">
        <v>32</v>
      </c>
      <c r="AF3" s="8" t="s">
        <v>59</v>
      </c>
      <c r="AG3" s="8" t="s">
        <v>32</v>
      </c>
    </row>
    <row r="4" spans="1:33" x14ac:dyDescent="0.25">
      <c r="A4" s="1" t="s">
        <v>16</v>
      </c>
      <c r="B4" s="7">
        <v>0.5</v>
      </c>
      <c r="C4" s="7">
        <v>1</v>
      </c>
      <c r="D4" s="7" t="s">
        <v>32</v>
      </c>
      <c r="E4" s="7">
        <v>0.27272727272727271</v>
      </c>
      <c r="F4" s="7">
        <v>0.55555555555555558</v>
      </c>
      <c r="G4" s="7">
        <v>0.375</v>
      </c>
      <c r="H4" s="7">
        <v>0.4375</v>
      </c>
      <c r="I4" s="7">
        <v>0.44444444444444442</v>
      </c>
      <c r="J4" s="7">
        <v>0.44444444444444442</v>
      </c>
      <c r="K4" s="7">
        <v>0.33333333333333331</v>
      </c>
      <c r="L4" s="7">
        <v>0.44444444444444442</v>
      </c>
      <c r="M4" s="7">
        <v>0.25</v>
      </c>
      <c r="N4" s="7">
        <v>0.14285714285714285</v>
      </c>
      <c r="O4" s="7">
        <v>0.33333333333333331</v>
      </c>
      <c r="P4" s="7">
        <v>0.66666666666666663</v>
      </c>
      <c r="Q4" s="7" t="s">
        <v>32</v>
      </c>
      <c r="R4" t="s">
        <v>102</v>
      </c>
      <c r="S4" t="s">
        <v>61</v>
      </c>
      <c r="T4" s="8" t="s">
        <v>32</v>
      </c>
      <c r="U4" s="8" t="s">
        <v>78</v>
      </c>
      <c r="V4" s="8" t="s">
        <v>134</v>
      </c>
      <c r="W4" s="8" t="s">
        <v>85</v>
      </c>
      <c r="X4" s="8" t="s">
        <v>124</v>
      </c>
      <c r="Y4" s="8" t="s">
        <v>80</v>
      </c>
      <c r="Z4" s="8" t="s">
        <v>80</v>
      </c>
      <c r="AA4" s="8" t="s">
        <v>113</v>
      </c>
      <c r="AB4" s="8" t="s">
        <v>80</v>
      </c>
      <c r="AC4" s="8" t="s">
        <v>69</v>
      </c>
      <c r="AD4" s="8" t="s">
        <v>67</v>
      </c>
      <c r="AE4" s="8" t="s">
        <v>63</v>
      </c>
      <c r="AF4" s="8" t="s">
        <v>127</v>
      </c>
      <c r="AG4" s="8" t="s">
        <v>32</v>
      </c>
    </row>
    <row r="5" spans="1:33" x14ac:dyDescent="0.25">
      <c r="A5" s="1" t="s">
        <v>22</v>
      </c>
      <c r="B5" s="7">
        <v>0.46153846153846156</v>
      </c>
      <c r="C5" s="7">
        <v>0</v>
      </c>
      <c r="D5" s="7">
        <v>0.27272727272727271</v>
      </c>
      <c r="E5" s="7" t="s">
        <v>32</v>
      </c>
      <c r="F5" s="7">
        <v>0.61111111111111116</v>
      </c>
      <c r="G5" s="7">
        <v>0.52941176470588236</v>
      </c>
      <c r="H5" s="7">
        <v>0.5625</v>
      </c>
      <c r="I5" s="7">
        <v>0.5</v>
      </c>
      <c r="J5" s="7">
        <v>0.46666666666666667</v>
      </c>
      <c r="K5" s="7">
        <v>0.14285714285714285</v>
      </c>
      <c r="L5" s="7">
        <v>0.4</v>
      </c>
      <c r="M5" s="7">
        <v>0.5</v>
      </c>
      <c r="N5" s="7">
        <v>0.42857142857142855</v>
      </c>
      <c r="O5" s="7" t="s">
        <v>32</v>
      </c>
      <c r="P5" s="7">
        <v>0.55555555555555558</v>
      </c>
      <c r="Q5" s="7" t="s">
        <v>32</v>
      </c>
      <c r="R5" t="s">
        <v>180</v>
      </c>
      <c r="S5" t="s">
        <v>88</v>
      </c>
      <c r="T5" s="8" t="s">
        <v>78</v>
      </c>
      <c r="U5" s="8" t="s">
        <v>32</v>
      </c>
      <c r="V5" s="8" t="s">
        <v>125</v>
      </c>
      <c r="W5" s="8" t="s">
        <v>145</v>
      </c>
      <c r="X5" s="8" t="s">
        <v>111</v>
      </c>
      <c r="Y5" s="8" t="s">
        <v>65</v>
      </c>
      <c r="Z5" s="8" t="s">
        <v>183</v>
      </c>
      <c r="AA5" s="8" t="s">
        <v>67</v>
      </c>
      <c r="AB5" s="8" t="s">
        <v>73</v>
      </c>
      <c r="AC5" s="8" t="s">
        <v>52</v>
      </c>
      <c r="AD5" s="8" t="s">
        <v>72</v>
      </c>
      <c r="AE5" s="8" t="s">
        <v>32</v>
      </c>
      <c r="AF5" s="8" t="s">
        <v>184</v>
      </c>
      <c r="AG5" s="8" t="s">
        <v>32</v>
      </c>
    </row>
    <row r="6" spans="1:33" x14ac:dyDescent="0.25">
      <c r="A6" s="1" t="s">
        <v>4</v>
      </c>
      <c r="B6" s="7">
        <v>0.6470588235294118</v>
      </c>
      <c r="C6" s="7">
        <v>0.5</v>
      </c>
      <c r="D6" s="7">
        <v>0.55555555555555558</v>
      </c>
      <c r="E6" s="7">
        <v>0.61111111111111116</v>
      </c>
      <c r="F6" s="7" t="s">
        <v>32</v>
      </c>
      <c r="G6" s="7">
        <v>0.6470588235294118</v>
      </c>
      <c r="H6" s="7">
        <v>0.625</v>
      </c>
      <c r="I6" s="7">
        <v>0.7</v>
      </c>
      <c r="J6" s="7">
        <v>0.72727272727272729</v>
      </c>
      <c r="K6" s="7">
        <v>0.45454545454545453</v>
      </c>
      <c r="L6" s="7">
        <v>0.25</v>
      </c>
      <c r="M6" s="7">
        <v>0.38461538461538464</v>
      </c>
      <c r="N6" s="7">
        <v>0.5714285714285714</v>
      </c>
      <c r="O6" s="7">
        <v>1</v>
      </c>
      <c r="P6" s="7">
        <v>0.91666666666666663</v>
      </c>
      <c r="Q6" s="7" t="s">
        <v>32</v>
      </c>
      <c r="R6" t="s">
        <v>146</v>
      </c>
      <c r="S6" t="s">
        <v>59</v>
      </c>
      <c r="T6" s="8" t="s">
        <v>134</v>
      </c>
      <c r="U6" s="8" t="s">
        <v>125</v>
      </c>
      <c r="V6" s="8" t="s">
        <v>32</v>
      </c>
      <c r="W6" s="8" t="s">
        <v>146</v>
      </c>
      <c r="X6" s="8" t="s">
        <v>185</v>
      </c>
      <c r="Y6" s="8" t="s">
        <v>70</v>
      </c>
      <c r="Z6" s="8" t="s">
        <v>110</v>
      </c>
      <c r="AA6" s="8" t="s">
        <v>68</v>
      </c>
      <c r="AB6" s="8" t="s">
        <v>69</v>
      </c>
      <c r="AC6" s="8" t="s">
        <v>119</v>
      </c>
      <c r="AD6" s="8" t="s">
        <v>76</v>
      </c>
      <c r="AE6" s="8" t="s">
        <v>90</v>
      </c>
      <c r="AF6" s="8" t="s">
        <v>129</v>
      </c>
      <c r="AG6" s="8" t="s">
        <v>32</v>
      </c>
    </row>
    <row r="7" spans="1:33" x14ac:dyDescent="0.25">
      <c r="A7" s="1" t="s">
        <v>6</v>
      </c>
      <c r="B7" s="7">
        <v>0.7142857142857143</v>
      </c>
      <c r="C7" s="7">
        <v>0</v>
      </c>
      <c r="D7" s="7">
        <v>0.375</v>
      </c>
      <c r="E7" s="7">
        <v>0.52941176470588236</v>
      </c>
      <c r="F7" s="7">
        <v>0.6470588235294118</v>
      </c>
      <c r="G7" s="7" t="s">
        <v>32</v>
      </c>
      <c r="H7" s="7">
        <v>0.60869565217391308</v>
      </c>
      <c r="I7" s="7">
        <v>0.33333333333333331</v>
      </c>
      <c r="J7" s="7">
        <v>0.5714285714285714</v>
      </c>
      <c r="K7" s="7">
        <v>0.4</v>
      </c>
      <c r="L7" s="7">
        <v>0.6</v>
      </c>
      <c r="M7" s="7">
        <v>0.45454545454545453</v>
      </c>
      <c r="N7" s="7">
        <v>0.4</v>
      </c>
      <c r="O7" s="7">
        <v>0</v>
      </c>
      <c r="P7" s="7">
        <v>0.9</v>
      </c>
      <c r="Q7" s="7" t="s">
        <v>32</v>
      </c>
      <c r="R7" t="s">
        <v>142</v>
      </c>
      <c r="S7" t="s">
        <v>60</v>
      </c>
      <c r="T7" s="8" t="s">
        <v>85</v>
      </c>
      <c r="U7" s="8" t="s">
        <v>145</v>
      </c>
      <c r="V7" s="8" t="s">
        <v>146</v>
      </c>
      <c r="W7" s="8" t="s">
        <v>32</v>
      </c>
      <c r="X7" s="8" t="s">
        <v>140</v>
      </c>
      <c r="Y7" s="8" t="s">
        <v>113</v>
      </c>
      <c r="Z7" s="8" t="s">
        <v>71</v>
      </c>
      <c r="AA7" s="8" t="s">
        <v>77</v>
      </c>
      <c r="AB7" s="8" t="s">
        <v>74</v>
      </c>
      <c r="AC7" s="8" t="s">
        <v>68</v>
      </c>
      <c r="AD7" s="8" t="s">
        <v>73</v>
      </c>
      <c r="AE7" s="8" t="s">
        <v>60</v>
      </c>
      <c r="AF7" s="8" t="s">
        <v>54</v>
      </c>
      <c r="AG7" s="8" t="s">
        <v>32</v>
      </c>
    </row>
    <row r="8" spans="1:33" x14ac:dyDescent="0.25">
      <c r="A8" s="1" t="s">
        <v>5</v>
      </c>
      <c r="B8" s="7">
        <v>0.69230769230769229</v>
      </c>
      <c r="C8" s="7">
        <v>0.25</v>
      </c>
      <c r="D8" s="7">
        <v>0.4375</v>
      </c>
      <c r="E8" s="7">
        <v>0.5625</v>
      </c>
      <c r="F8" s="7">
        <v>0.625</v>
      </c>
      <c r="G8" s="7">
        <v>0.60869565217391308</v>
      </c>
      <c r="H8" s="7" t="s">
        <v>32</v>
      </c>
      <c r="I8" s="7">
        <v>0.41666666666666669</v>
      </c>
      <c r="J8" s="7">
        <v>0.53333333333333333</v>
      </c>
      <c r="K8" s="7">
        <v>0.42857142857142855</v>
      </c>
      <c r="L8" s="7">
        <v>0.5</v>
      </c>
      <c r="M8" s="7">
        <v>0.44444444444444442</v>
      </c>
      <c r="N8" s="7">
        <v>0.25</v>
      </c>
      <c r="O8" s="7" t="s">
        <v>32</v>
      </c>
      <c r="P8" s="7">
        <v>0.90909090909090906</v>
      </c>
      <c r="Q8" s="7" t="s">
        <v>32</v>
      </c>
      <c r="R8" t="s">
        <v>108</v>
      </c>
      <c r="S8" t="s">
        <v>69</v>
      </c>
      <c r="T8" s="8" t="s">
        <v>124</v>
      </c>
      <c r="U8" s="8" t="s">
        <v>111</v>
      </c>
      <c r="V8" s="8" t="s">
        <v>185</v>
      </c>
      <c r="W8" s="8" t="s">
        <v>140</v>
      </c>
      <c r="X8" s="8" t="s">
        <v>32</v>
      </c>
      <c r="Y8" s="8" t="s">
        <v>83</v>
      </c>
      <c r="Z8" s="8" t="s">
        <v>147</v>
      </c>
      <c r="AA8" s="8" t="s">
        <v>116</v>
      </c>
      <c r="AB8" s="8" t="s">
        <v>57</v>
      </c>
      <c r="AC8" s="8" t="s">
        <v>80</v>
      </c>
      <c r="AD8" s="8" t="s">
        <v>69</v>
      </c>
      <c r="AE8" s="8" t="s">
        <v>32</v>
      </c>
      <c r="AF8" s="8" t="s">
        <v>84</v>
      </c>
      <c r="AG8" s="8" t="s">
        <v>32</v>
      </c>
    </row>
    <row r="9" spans="1:33" x14ac:dyDescent="0.25">
      <c r="A9" s="1" t="s">
        <v>8</v>
      </c>
      <c r="B9" s="7">
        <v>0.8</v>
      </c>
      <c r="C9" s="7">
        <v>0.5</v>
      </c>
      <c r="D9" s="7">
        <v>0.44444444444444442</v>
      </c>
      <c r="E9" s="7">
        <v>0.5</v>
      </c>
      <c r="F9" s="7">
        <v>0.7</v>
      </c>
      <c r="G9" s="7">
        <v>0.33333333333333331</v>
      </c>
      <c r="H9" s="7">
        <v>0.41666666666666669</v>
      </c>
      <c r="I9" s="7" t="s">
        <v>32</v>
      </c>
      <c r="J9" s="7">
        <v>0.33333333333333331</v>
      </c>
      <c r="K9" s="7">
        <v>0.44444444444444442</v>
      </c>
      <c r="L9" s="7">
        <v>0.33333333333333331</v>
      </c>
      <c r="M9" s="7">
        <v>0</v>
      </c>
      <c r="N9" s="7">
        <v>0.38461538461538464</v>
      </c>
      <c r="O9" s="7">
        <v>0.6</v>
      </c>
      <c r="P9" s="7">
        <v>1</v>
      </c>
      <c r="Q9" s="7">
        <v>0</v>
      </c>
      <c r="R9" t="s">
        <v>104</v>
      </c>
      <c r="S9" t="s">
        <v>59</v>
      </c>
      <c r="T9" s="8" t="s">
        <v>80</v>
      </c>
      <c r="U9" s="8" t="s">
        <v>65</v>
      </c>
      <c r="V9" s="8" t="s">
        <v>70</v>
      </c>
      <c r="W9" s="8" t="s">
        <v>113</v>
      </c>
      <c r="X9" s="8" t="s">
        <v>83</v>
      </c>
      <c r="Y9" s="8" t="s">
        <v>32</v>
      </c>
      <c r="Z9" s="8" t="s">
        <v>101</v>
      </c>
      <c r="AA9" s="8" t="s">
        <v>80</v>
      </c>
      <c r="AB9" s="8" t="s">
        <v>63</v>
      </c>
      <c r="AC9" s="8" t="s">
        <v>86</v>
      </c>
      <c r="AD9" s="8" t="s">
        <v>119</v>
      </c>
      <c r="AE9" s="8" t="s">
        <v>74</v>
      </c>
      <c r="AF9" s="8" t="s">
        <v>135</v>
      </c>
      <c r="AG9" s="8" t="s">
        <v>88</v>
      </c>
    </row>
    <row r="10" spans="1:33" x14ac:dyDescent="0.25">
      <c r="A10" s="1" t="s">
        <v>12</v>
      </c>
      <c r="B10" s="7">
        <v>0.56000000000000005</v>
      </c>
      <c r="C10" s="7">
        <v>0.25</v>
      </c>
      <c r="D10" s="7">
        <v>0.44444444444444442</v>
      </c>
      <c r="E10" s="7">
        <v>0.46666666666666667</v>
      </c>
      <c r="F10" s="7">
        <v>0.72727272727272729</v>
      </c>
      <c r="G10" s="7">
        <v>0.5714285714285714</v>
      </c>
      <c r="H10" s="7">
        <v>0.53333333333333333</v>
      </c>
      <c r="I10" s="7">
        <v>0.33333333333333331</v>
      </c>
      <c r="J10" s="7" t="s">
        <v>32</v>
      </c>
      <c r="K10" s="7">
        <v>0.33333333333333331</v>
      </c>
      <c r="L10" s="7">
        <v>0.54545454545454541</v>
      </c>
      <c r="M10" s="7">
        <v>0.5</v>
      </c>
      <c r="N10" s="7">
        <v>0.14285714285714285</v>
      </c>
      <c r="O10" s="7">
        <v>0</v>
      </c>
      <c r="P10" s="7">
        <v>0.73333333333333328</v>
      </c>
      <c r="Q10" s="7">
        <v>0</v>
      </c>
      <c r="R10" t="s">
        <v>181</v>
      </c>
      <c r="S10" t="s">
        <v>69</v>
      </c>
      <c r="T10" s="8" t="s">
        <v>80</v>
      </c>
      <c r="U10" s="8" t="s">
        <v>183</v>
      </c>
      <c r="V10" s="8" t="s">
        <v>110</v>
      </c>
      <c r="W10" s="8" t="s">
        <v>71</v>
      </c>
      <c r="X10" s="8" t="s">
        <v>147</v>
      </c>
      <c r="Y10" s="8" t="s">
        <v>101</v>
      </c>
      <c r="Z10" s="8" t="s">
        <v>32</v>
      </c>
      <c r="AA10" s="8" t="s">
        <v>122</v>
      </c>
      <c r="AB10" s="8" t="s">
        <v>51</v>
      </c>
      <c r="AC10" s="8" t="s">
        <v>81</v>
      </c>
      <c r="AD10" s="8" t="s">
        <v>67</v>
      </c>
      <c r="AE10" s="8" t="s">
        <v>66</v>
      </c>
      <c r="AF10" s="8" t="s">
        <v>186</v>
      </c>
      <c r="AG10" s="8" t="s">
        <v>88</v>
      </c>
    </row>
    <row r="11" spans="1:33" x14ac:dyDescent="0.25">
      <c r="A11" s="2" t="s">
        <v>23</v>
      </c>
      <c r="B11" s="7">
        <v>0.5</v>
      </c>
      <c r="C11" s="7">
        <v>0.2</v>
      </c>
      <c r="D11" s="7">
        <v>0.33333333333333331</v>
      </c>
      <c r="E11" s="7">
        <v>0.14285714285714285</v>
      </c>
      <c r="F11" s="7">
        <v>0.45454545454545453</v>
      </c>
      <c r="G11" s="7">
        <v>0.4</v>
      </c>
      <c r="H11" s="7">
        <v>0.42857142857142855</v>
      </c>
      <c r="I11" s="7">
        <v>0.44444444444444442</v>
      </c>
      <c r="J11" s="7">
        <v>0.33333333333333331</v>
      </c>
      <c r="K11" s="7" t="s">
        <v>32</v>
      </c>
      <c r="L11" s="7">
        <v>0.6</v>
      </c>
      <c r="M11" s="7">
        <v>0.14285714285714285</v>
      </c>
      <c r="N11" s="7">
        <v>0.66666666666666663</v>
      </c>
      <c r="O11" s="7">
        <v>1</v>
      </c>
      <c r="P11" s="7">
        <v>0.66666666666666663</v>
      </c>
      <c r="Q11" s="7">
        <v>0</v>
      </c>
      <c r="R11" t="s">
        <v>57</v>
      </c>
      <c r="S11" t="s">
        <v>64</v>
      </c>
      <c r="T11" s="8" t="s">
        <v>113</v>
      </c>
      <c r="U11" s="8" t="s">
        <v>67</v>
      </c>
      <c r="V11" s="8" t="s">
        <v>68</v>
      </c>
      <c r="W11" s="8" t="s">
        <v>77</v>
      </c>
      <c r="X11" s="8" t="s">
        <v>116</v>
      </c>
      <c r="Y11" s="8" t="s">
        <v>80</v>
      </c>
      <c r="Z11" s="8" t="s">
        <v>122</v>
      </c>
      <c r="AA11" s="8" t="s">
        <v>32</v>
      </c>
      <c r="AB11" s="8" t="s">
        <v>74</v>
      </c>
      <c r="AC11" s="8" t="s">
        <v>67</v>
      </c>
      <c r="AD11" s="8" t="s">
        <v>50</v>
      </c>
      <c r="AE11" s="8" t="s">
        <v>90</v>
      </c>
      <c r="AF11" s="8" t="s">
        <v>50</v>
      </c>
      <c r="AG11" s="8" t="s">
        <v>66</v>
      </c>
    </row>
    <row r="12" spans="1:33" x14ac:dyDescent="0.25">
      <c r="A12" s="2" t="s">
        <v>11</v>
      </c>
      <c r="B12" s="7">
        <v>0.63636363636363635</v>
      </c>
      <c r="C12" s="7">
        <v>0.5</v>
      </c>
      <c r="D12" s="7">
        <v>0.44444444444444442</v>
      </c>
      <c r="E12" s="7">
        <v>0.4</v>
      </c>
      <c r="F12" s="7">
        <v>0.25</v>
      </c>
      <c r="G12" s="7">
        <v>0.6</v>
      </c>
      <c r="H12" s="7">
        <v>0.5</v>
      </c>
      <c r="I12" s="7">
        <v>0.33333333333333331</v>
      </c>
      <c r="J12" s="7">
        <v>0.54545454545454541</v>
      </c>
      <c r="K12" s="7">
        <v>0.6</v>
      </c>
      <c r="L12" s="7" t="s">
        <v>32</v>
      </c>
      <c r="M12" s="7">
        <v>0.25</v>
      </c>
      <c r="N12" s="7">
        <v>0.5</v>
      </c>
      <c r="O12" s="7" t="s">
        <v>32</v>
      </c>
      <c r="P12" s="7">
        <v>0.83333333333333337</v>
      </c>
      <c r="Q12" s="7">
        <v>0</v>
      </c>
      <c r="R12" t="s">
        <v>58</v>
      </c>
      <c r="S12" t="s">
        <v>65</v>
      </c>
      <c r="T12" s="8" t="s">
        <v>80</v>
      </c>
      <c r="U12" s="8" t="s">
        <v>73</v>
      </c>
      <c r="V12" s="8" t="s">
        <v>69</v>
      </c>
      <c r="W12" s="8" t="s">
        <v>74</v>
      </c>
      <c r="X12" s="8" t="s">
        <v>57</v>
      </c>
      <c r="Y12" s="8" t="s">
        <v>63</v>
      </c>
      <c r="Z12" s="8" t="s">
        <v>51</v>
      </c>
      <c r="AA12" s="8" t="s">
        <v>74</v>
      </c>
      <c r="AB12" s="8" t="s">
        <v>32</v>
      </c>
      <c r="AC12" s="8" t="s">
        <v>69</v>
      </c>
      <c r="AD12" s="8" t="s">
        <v>59</v>
      </c>
      <c r="AE12" s="8" t="s">
        <v>32</v>
      </c>
      <c r="AF12" s="8" t="s">
        <v>91</v>
      </c>
      <c r="AG12" s="8" t="s">
        <v>66</v>
      </c>
    </row>
    <row r="13" spans="1:33" x14ac:dyDescent="0.25">
      <c r="A13" s="1" t="s">
        <v>9</v>
      </c>
      <c r="B13" s="7">
        <v>0.33333333333333331</v>
      </c>
      <c r="C13" s="7">
        <v>0</v>
      </c>
      <c r="D13" s="7">
        <v>0.25</v>
      </c>
      <c r="E13" s="7">
        <v>0.5</v>
      </c>
      <c r="F13" s="7">
        <v>0.38461538461538464</v>
      </c>
      <c r="G13" s="7">
        <v>0.45454545454545453</v>
      </c>
      <c r="H13" s="7">
        <v>0.44444444444444442</v>
      </c>
      <c r="I13" s="7">
        <v>0</v>
      </c>
      <c r="J13" s="7">
        <v>0.5</v>
      </c>
      <c r="K13" s="7">
        <v>0.14285714285714285</v>
      </c>
      <c r="L13" s="7">
        <v>0.25</v>
      </c>
      <c r="M13" s="7" t="s">
        <v>32</v>
      </c>
      <c r="N13" s="7">
        <v>0</v>
      </c>
      <c r="O13" s="7" t="s">
        <v>32</v>
      </c>
      <c r="P13" s="7">
        <v>0.8</v>
      </c>
      <c r="Q13" s="7">
        <v>0</v>
      </c>
      <c r="R13" t="s">
        <v>63</v>
      </c>
      <c r="S13" t="s">
        <v>66</v>
      </c>
      <c r="T13" s="8" t="s">
        <v>69</v>
      </c>
      <c r="U13" s="8" t="s">
        <v>52</v>
      </c>
      <c r="V13" s="8" t="s">
        <v>119</v>
      </c>
      <c r="W13" s="8" t="s">
        <v>68</v>
      </c>
      <c r="X13" s="8" t="s">
        <v>80</v>
      </c>
      <c r="Y13" s="8" t="s">
        <v>86</v>
      </c>
      <c r="Z13" s="8" t="s">
        <v>81</v>
      </c>
      <c r="AA13" s="8" t="s">
        <v>67</v>
      </c>
      <c r="AB13" s="8" t="s">
        <v>69</v>
      </c>
      <c r="AC13" s="8" t="s">
        <v>32</v>
      </c>
      <c r="AD13" s="8" t="s">
        <v>66</v>
      </c>
      <c r="AE13" s="8" t="s">
        <v>32</v>
      </c>
      <c r="AF13" s="8" t="s">
        <v>104</v>
      </c>
      <c r="AG13" s="8" t="s">
        <v>66</v>
      </c>
    </row>
    <row r="14" spans="1:33" x14ac:dyDescent="0.25">
      <c r="A14" s="1" t="s">
        <v>24</v>
      </c>
      <c r="B14" s="7">
        <v>0.25</v>
      </c>
      <c r="C14" s="7" t="s">
        <v>32</v>
      </c>
      <c r="D14" s="7">
        <v>0.14285714285714285</v>
      </c>
      <c r="E14" s="7">
        <v>0.42857142857142855</v>
      </c>
      <c r="F14" s="7">
        <v>0.5714285714285714</v>
      </c>
      <c r="G14" s="7">
        <v>0.4</v>
      </c>
      <c r="H14" s="7">
        <v>0.25</v>
      </c>
      <c r="I14" s="7">
        <v>0.38461538461538464</v>
      </c>
      <c r="J14" s="7">
        <v>0.14285714285714285</v>
      </c>
      <c r="K14" s="7">
        <v>0.66666666666666663</v>
      </c>
      <c r="L14" s="7">
        <v>0.5</v>
      </c>
      <c r="M14" s="7">
        <v>0</v>
      </c>
      <c r="N14" s="7" t="s">
        <v>32</v>
      </c>
      <c r="O14" s="7">
        <v>0.42857142857142855</v>
      </c>
      <c r="P14" s="7">
        <v>1</v>
      </c>
      <c r="Q14" s="7">
        <v>0</v>
      </c>
      <c r="R14" t="s">
        <v>69</v>
      </c>
      <c r="S14" t="s">
        <v>32</v>
      </c>
      <c r="T14" s="8" t="s">
        <v>67</v>
      </c>
      <c r="U14" s="8" t="s">
        <v>72</v>
      </c>
      <c r="V14" s="8" t="s">
        <v>76</v>
      </c>
      <c r="W14" s="8" t="s">
        <v>73</v>
      </c>
      <c r="X14" s="8" t="s">
        <v>69</v>
      </c>
      <c r="Y14" s="8" t="s">
        <v>119</v>
      </c>
      <c r="Z14" s="8" t="s">
        <v>67</v>
      </c>
      <c r="AA14" s="8" t="s">
        <v>50</v>
      </c>
      <c r="AB14" s="8" t="s">
        <v>59</v>
      </c>
      <c r="AC14" s="8" t="s">
        <v>66</v>
      </c>
      <c r="AD14" s="8" t="s">
        <v>32</v>
      </c>
      <c r="AE14" s="8" t="s">
        <v>72</v>
      </c>
      <c r="AF14" s="8" t="s">
        <v>61</v>
      </c>
      <c r="AG14" s="8" t="s">
        <v>60</v>
      </c>
    </row>
    <row r="15" spans="1:33" x14ac:dyDescent="0.25">
      <c r="A15" s="1" t="s">
        <v>26</v>
      </c>
      <c r="B15" s="7">
        <v>0</v>
      </c>
      <c r="C15" s="7" t="s">
        <v>32</v>
      </c>
      <c r="D15" s="7">
        <v>0.33333333333333331</v>
      </c>
      <c r="E15" s="7" t="s">
        <v>32</v>
      </c>
      <c r="F15" s="7">
        <v>1</v>
      </c>
      <c r="G15" s="7">
        <v>0</v>
      </c>
      <c r="H15" s="7" t="s">
        <v>32</v>
      </c>
      <c r="I15" s="7">
        <v>0.6</v>
      </c>
      <c r="J15" s="7">
        <v>0</v>
      </c>
      <c r="K15" s="7">
        <v>1</v>
      </c>
      <c r="L15" s="7" t="s">
        <v>32</v>
      </c>
      <c r="M15" s="7" t="s">
        <v>32</v>
      </c>
      <c r="N15" s="7">
        <v>0.42857142857142855</v>
      </c>
      <c r="O15" s="7" t="s">
        <v>32</v>
      </c>
      <c r="P15" s="7" t="s">
        <v>32</v>
      </c>
      <c r="Q15" s="7" t="s">
        <v>32</v>
      </c>
      <c r="R15" t="s">
        <v>66</v>
      </c>
      <c r="S15" t="s">
        <v>32</v>
      </c>
      <c r="T15" s="8" t="s">
        <v>63</v>
      </c>
      <c r="U15" s="8" t="s">
        <v>32</v>
      </c>
      <c r="V15" s="8" t="s">
        <v>90</v>
      </c>
      <c r="W15" s="8" t="s">
        <v>60</v>
      </c>
      <c r="X15" s="8" t="s">
        <v>32</v>
      </c>
      <c r="Y15" s="8" t="s">
        <v>74</v>
      </c>
      <c r="Z15" s="8" t="s">
        <v>66</v>
      </c>
      <c r="AA15" s="8" t="s">
        <v>90</v>
      </c>
      <c r="AB15" s="8" t="s">
        <v>32</v>
      </c>
      <c r="AC15" s="8" t="s">
        <v>32</v>
      </c>
      <c r="AD15" s="8" t="s">
        <v>72</v>
      </c>
      <c r="AE15" s="8" t="s">
        <v>32</v>
      </c>
      <c r="AF15" s="8" t="s">
        <v>32</v>
      </c>
      <c r="AG15" s="8" t="s">
        <v>32</v>
      </c>
    </row>
    <row r="16" spans="1:33" x14ac:dyDescent="0.25">
      <c r="A16" s="1" t="s">
        <v>7</v>
      </c>
      <c r="B16" s="7">
        <v>0.8125</v>
      </c>
      <c r="C16" s="7">
        <v>0.5</v>
      </c>
      <c r="D16" s="7">
        <v>0.66666666666666663</v>
      </c>
      <c r="E16" s="7">
        <v>0.55555555555555558</v>
      </c>
      <c r="F16" s="7">
        <v>0.91666666666666663</v>
      </c>
      <c r="G16" s="7">
        <v>0.9</v>
      </c>
      <c r="H16" s="7">
        <v>0.90909090909090906</v>
      </c>
      <c r="I16" s="7">
        <v>1</v>
      </c>
      <c r="J16" s="7">
        <v>0.73333333333333328</v>
      </c>
      <c r="K16" s="7">
        <v>0.66666666666666663</v>
      </c>
      <c r="L16" s="7">
        <v>0.83333333333333337</v>
      </c>
      <c r="M16" s="7">
        <v>0.8</v>
      </c>
      <c r="N16" s="7">
        <v>1</v>
      </c>
      <c r="O16" s="7" t="s">
        <v>32</v>
      </c>
      <c r="P16" s="7" t="s">
        <v>32</v>
      </c>
      <c r="Q16" s="7" t="s">
        <v>32</v>
      </c>
      <c r="R16" t="s">
        <v>182</v>
      </c>
      <c r="S16" t="s">
        <v>59</v>
      </c>
      <c r="T16" s="8" t="s">
        <v>127</v>
      </c>
      <c r="U16" s="8" t="s">
        <v>184</v>
      </c>
      <c r="V16" s="8" t="s">
        <v>129</v>
      </c>
      <c r="W16" s="8" t="s">
        <v>54</v>
      </c>
      <c r="X16" s="8" t="s">
        <v>84</v>
      </c>
      <c r="Y16" s="8" t="s">
        <v>135</v>
      </c>
      <c r="Z16" s="8" t="s">
        <v>186</v>
      </c>
      <c r="AA16" s="8" t="s">
        <v>50</v>
      </c>
      <c r="AB16" s="8" t="s">
        <v>91</v>
      </c>
      <c r="AC16" s="8" t="s">
        <v>104</v>
      </c>
      <c r="AD16" s="8" t="s">
        <v>61</v>
      </c>
      <c r="AE16" s="8" t="s">
        <v>32</v>
      </c>
      <c r="AF16" s="8" t="s">
        <v>32</v>
      </c>
      <c r="AG16" s="8" t="s">
        <v>32</v>
      </c>
    </row>
    <row r="17" spans="1:33" x14ac:dyDescent="0.25">
      <c r="A17" s="1" t="s">
        <v>10</v>
      </c>
      <c r="B17" s="7">
        <v>0</v>
      </c>
      <c r="C17" s="7" t="s">
        <v>32</v>
      </c>
      <c r="D17" s="7" t="s">
        <v>32</v>
      </c>
      <c r="E17" s="7" t="s">
        <v>32</v>
      </c>
      <c r="F17" s="7" t="s">
        <v>32</v>
      </c>
      <c r="G17" s="7" t="s">
        <v>32</v>
      </c>
      <c r="H17" s="7" t="s">
        <v>32</v>
      </c>
      <c r="I17" s="7">
        <v>0</v>
      </c>
      <c r="J17" s="7">
        <v>0</v>
      </c>
      <c r="K17" s="7">
        <v>0</v>
      </c>
      <c r="L17" s="7">
        <v>0</v>
      </c>
      <c r="M17" s="7">
        <v>0</v>
      </c>
      <c r="N17" s="7">
        <v>0</v>
      </c>
      <c r="O17" s="7" t="s">
        <v>32</v>
      </c>
      <c r="P17" s="7" t="s">
        <v>32</v>
      </c>
      <c r="Q17" s="7" t="s">
        <v>32</v>
      </c>
      <c r="R17" t="s">
        <v>60</v>
      </c>
      <c r="S17" t="s">
        <v>32</v>
      </c>
      <c r="T17" s="8" t="s">
        <v>32</v>
      </c>
      <c r="U17" s="8" t="s">
        <v>32</v>
      </c>
      <c r="V17" s="8" t="s">
        <v>32</v>
      </c>
      <c r="W17" s="8" t="s">
        <v>32</v>
      </c>
      <c r="X17" s="8" t="s">
        <v>32</v>
      </c>
      <c r="Y17" s="8" t="s">
        <v>88</v>
      </c>
      <c r="Z17" s="8" t="s">
        <v>88</v>
      </c>
      <c r="AA17" s="8" t="s">
        <v>66</v>
      </c>
      <c r="AB17" s="8" t="s">
        <v>66</v>
      </c>
      <c r="AC17" s="8" t="s">
        <v>66</v>
      </c>
      <c r="AD17" s="8" t="s">
        <v>60</v>
      </c>
      <c r="AE17" s="8" t="s">
        <v>32</v>
      </c>
      <c r="AF17" s="8" t="s">
        <v>32</v>
      </c>
      <c r="AG17" s="8" t="s">
        <v>32</v>
      </c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theme="6" tint="0.79998168889431442"/>
  </sheetPr>
  <dimension ref="A1:AG17"/>
  <sheetViews>
    <sheetView workbookViewId="0">
      <selection activeCell="R2" sqref="R2:AG17"/>
    </sheetView>
  </sheetViews>
  <sheetFormatPr defaultRowHeight="15" x14ac:dyDescent="0.25"/>
  <sheetData>
    <row r="1" spans="1:33" x14ac:dyDescent="0.25">
      <c r="A1" t="s">
        <v>27</v>
      </c>
      <c r="B1" t="s">
        <v>3</v>
      </c>
      <c r="C1" t="s">
        <v>18</v>
      </c>
      <c r="D1" t="s">
        <v>16</v>
      </c>
      <c r="E1" t="s">
        <v>22</v>
      </c>
      <c r="F1" t="s">
        <v>4</v>
      </c>
      <c r="G1" t="s">
        <v>6</v>
      </c>
      <c r="H1" t="s">
        <v>5</v>
      </c>
      <c r="I1" t="s">
        <v>8</v>
      </c>
      <c r="J1" t="s">
        <v>12</v>
      </c>
      <c r="K1" t="s">
        <v>23</v>
      </c>
      <c r="L1" t="s">
        <v>11</v>
      </c>
      <c r="M1" t="s">
        <v>9</v>
      </c>
      <c r="N1" t="s">
        <v>24</v>
      </c>
      <c r="O1" t="s">
        <v>26</v>
      </c>
      <c r="P1" t="s">
        <v>7</v>
      </c>
      <c r="Q1" t="s">
        <v>10</v>
      </c>
      <c r="R1" t="s">
        <v>35</v>
      </c>
      <c r="S1" t="s">
        <v>36</v>
      </c>
      <c r="T1" t="s">
        <v>37</v>
      </c>
      <c r="U1" t="s">
        <v>38</v>
      </c>
      <c r="V1" t="s">
        <v>39</v>
      </c>
      <c r="W1" t="s">
        <v>40</v>
      </c>
      <c r="X1" t="s">
        <v>41</v>
      </c>
      <c r="Y1" t="s">
        <v>42</v>
      </c>
      <c r="Z1" t="s">
        <v>43</v>
      </c>
      <c r="AA1" t="s">
        <v>28</v>
      </c>
      <c r="AB1" t="s">
        <v>44</v>
      </c>
      <c r="AC1" t="s">
        <v>45</v>
      </c>
      <c r="AD1" t="s">
        <v>46</v>
      </c>
      <c r="AE1" t="s">
        <v>47</v>
      </c>
      <c r="AF1" t="s">
        <v>48</v>
      </c>
      <c r="AG1" t="s">
        <v>49</v>
      </c>
    </row>
    <row r="2" spans="1:33" x14ac:dyDescent="0.25">
      <c r="A2" t="s">
        <v>3</v>
      </c>
      <c r="B2" s="6" t="s">
        <v>32</v>
      </c>
      <c r="C2" s="6">
        <v>0</v>
      </c>
      <c r="D2" s="6">
        <v>0.42857142857142855</v>
      </c>
      <c r="E2" s="6">
        <v>0.4</v>
      </c>
      <c r="F2" s="6">
        <v>0.5</v>
      </c>
      <c r="G2" s="6">
        <v>0.5</v>
      </c>
      <c r="H2" s="6">
        <v>0.41666666666666669</v>
      </c>
      <c r="I2" s="6">
        <v>0.4</v>
      </c>
      <c r="J2" s="6">
        <v>0.33333333333333331</v>
      </c>
      <c r="K2" s="6">
        <v>0.35714285714285715</v>
      </c>
      <c r="L2" s="6">
        <v>0.2857142857142857</v>
      </c>
      <c r="M2" s="6">
        <v>0.35714285714285715</v>
      </c>
      <c r="N2" s="6">
        <v>0.42857142857142855</v>
      </c>
      <c r="O2" s="6">
        <v>0.75</v>
      </c>
      <c r="P2" s="6">
        <v>0.66666666666666663</v>
      </c>
      <c r="Q2" s="6">
        <v>0</v>
      </c>
      <c r="R2" t="s">
        <v>32</v>
      </c>
      <c r="S2" t="s">
        <v>88</v>
      </c>
      <c r="T2" t="s">
        <v>116</v>
      </c>
      <c r="U2" t="s">
        <v>156</v>
      </c>
      <c r="V2" t="s">
        <v>187</v>
      </c>
      <c r="W2" t="s">
        <v>133</v>
      </c>
      <c r="X2" t="s">
        <v>188</v>
      </c>
      <c r="Y2" t="s">
        <v>189</v>
      </c>
      <c r="Z2" t="s">
        <v>103</v>
      </c>
      <c r="AA2" t="s">
        <v>115</v>
      </c>
      <c r="AB2" t="s">
        <v>82</v>
      </c>
      <c r="AC2" t="s">
        <v>115</v>
      </c>
      <c r="AD2" t="s">
        <v>116</v>
      </c>
      <c r="AE2" t="s">
        <v>56</v>
      </c>
      <c r="AF2" t="s">
        <v>105</v>
      </c>
      <c r="AG2" t="s">
        <v>62</v>
      </c>
    </row>
    <row r="3" spans="1:33" x14ac:dyDescent="0.25">
      <c r="A3" t="s">
        <v>18</v>
      </c>
      <c r="B3" s="6">
        <v>1</v>
      </c>
      <c r="C3" s="6" t="s">
        <v>32</v>
      </c>
      <c r="D3" s="6">
        <v>0.7142857142857143</v>
      </c>
      <c r="E3" s="6">
        <v>0</v>
      </c>
      <c r="F3" s="6">
        <v>0.7142857142857143</v>
      </c>
      <c r="G3" s="6">
        <v>0.5</v>
      </c>
      <c r="H3" s="6">
        <v>0.6</v>
      </c>
      <c r="I3" s="6">
        <v>0.66666666666666663</v>
      </c>
      <c r="J3" s="6">
        <v>0.75</v>
      </c>
      <c r="K3" s="6">
        <v>0.66666666666666663</v>
      </c>
      <c r="L3" s="6">
        <v>1</v>
      </c>
      <c r="M3" s="6" t="s">
        <v>32</v>
      </c>
      <c r="N3" s="6" t="s">
        <v>32</v>
      </c>
      <c r="O3" s="6" t="s">
        <v>32</v>
      </c>
      <c r="P3" s="6">
        <v>0.66666666666666663</v>
      </c>
      <c r="Q3" s="6" t="s">
        <v>32</v>
      </c>
      <c r="R3" t="s">
        <v>87</v>
      </c>
      <c r="S3" t="s">
        <v>32</v>
      </c>
      <c r="T3" t="s">
        <v>112</v>
      </c>
      <c r="U3" t="s">
        <v>66</v>
      </c>
      <c r="V3" t="s">
        <v>112</v>
      </c>
      <c r="W3" t="s">
        <v>65</v>
      </c>
      <c r="X3" t="s">
        <v>74</v>
      </c>
      <c r="Y3" t="s">
        <v>50</v>
      </c>
      <c r="Z3" t="s">
        <v>56</v>
      </c>
      <c r="AA3" t="s">
        <v>50</v>
      </c>
      <c r="AB3" t="s">
        <v>61</v>
      </c>
      <c r="AC3" t="s">
        <v>32</v>
      </c>
      <c r="AD3" t="s">
        <v>32</v>
      </c>
      <c r="AE3" t="s">
        <v>32</v>
      </c>
      <c r="AF3" t="s">
        <v>50</v>
      </c>
      <c r="AG3" t="s">
        <v>32</v>
      </c>
    </row>
    <row r="4" spans="1:33" x14ac:dyDescent="0.25">
      <c r="A4" t="s">
        <v>16</v>
      </c>
      <c r="B4" s="6">
        <v>0.5714285714285714</v>
      </c>
      <c r="C4" s="6">
        <v>0.2857142857142857</v>
      </c>
      <c r="D4" s="6" t="s">
        <v>32</v>
      </c>
      <c r="E4" s="6">
        <v>0.6</v>
      </c>
      <c r="F4" s="6">
        <v>0.7142857142857143</v>
      </c>
      <c r="G4" s="6">
        <v>0.55555555555555558</v>
      </c>
      <c r="H4" s="6">
        <v>0.6</v>
      </c>
      <c r="I4" s="6">
        <v>0.55555555555555558</v>
      </c>
      <c r="J4" s="6">
        <v>0.63636363636363635</v>
      </c>
      <c r="K4" s="6">
        <v>0.5</v>
      </c>
      <c r="L4" s="6">
        <v>0.5</v>
      </c>
      <c r="M4" s="6">
        <v>0.5</v>
      </c>
      <c r="N4" s="6">
        <v>0.5</v>
      </c>
      <c r="O4" s="6">
        <v>0.66666666666666663</v>
      </c>
      <c r="P4" s="6">
        <v>0.8571428571428571</v>
      </c>
      <c r="Q4" s="6" t="s">
        <v>32</v>
      </c>
      <c r="R4" t="s">
        <v>71</v>
      </c>
      <c r="S4" t="s">
        <v>82</v>
      </c>
      <c r="T4" t="s">
        <v>32</v>
      </c>
      <c r="U4" t="s">
        <v>159</v>
      </c>
      <c r="V4" t="s">
        <v>142</v>
      </c>
      <c r="W4" t="s">
        <v>134</v>
      </c>
      <c r="X4" t="s">
        <v>159</v>
      </c>
      <c r="Y4" t="s">
        <v>184</v>
      </c>
      <c r="Z4" t="s">
        <v>190</v>
      </c>
      <c r="AA4" t="s">
        <v>109</v>
      </c>
      <c r="AB4" t="s">
        <v>57</v>
      </c>
      <c r="AC4" t="s">
        <v>109</v>
      </c>
      <c r="AD4" t="s">
        <v>57</v>
      </c>
      <c r="AE4" t="s">
        <v>50</v>
      </c>
      <c r="AF4" t="s">
        <v>191</v>
      </c>
      <c r="AG4" t="s">
        <v>32</v>
      </c>
    </row>
    <row r="5" spans="1:33" x14ac:dyDescent="0.25">
      <c r="A5" t="s">
        <v>22</v>
      </c>
      <c r="B5" s="6">
        <v>0.6</v>
      </c>
      <c r="C5" s="6">
        <v>1</v>
      </c>
      <c r="D5" s="6">
        <v>0.4</v>
      </c>
      <c r="E5" s="6" t="s">
        <v>32</v>
      </c>
      <c r="F5" s="6">
        <v>0.7857142857142857</v>
      </c>
      <c r="G5" s="6">
        <v>0.58333333333333337</v>
      </c>
      <c r="H5" s="6">
        <v>0.625</v>
      </c>
      <c r="I5" s="6">
        <v>0.4375</v>
      </c>
      <c r="J5" s="6">
        <v>0.52631578947368418</v>
      </c>
      <c r="K5" s="6">
        <v>0.54545454545454541</v>
      </c>
      <c r="L5" s="6">
        <v>0.625</v>
      </c>
      <c r="M5" s="6">
        <v>0.66666666666666663</v>
      </c>
      <c r="N5" s="6">
        <v>0.22222222222222221</v>
      </c>
      <c r="O5" s="6">
        <v>0.2</v>
      </c>
      <c r="P5" s="6">
        <v>0.8</v>
      </c>
      <c r="Q5" s="6">
        <v>0</v>
      </c>
      <c r="R5" t="s">
        <v>159</v>
      </c>
      <c r="S5" t="s">
        <v>90</v>
      </c>
      <c r="T5" t="s">
        <v>156</v>
      </c>
      <c r="U5" t="s">
        <v>32</v>
      </c>
      <c r="V5" t="s">
        <v>192</v>
      </c>
      <c r="W5" t="s">
        <v>53</v>
      </c>
      <c r="X5" t="s">
        <v>75</v>
      </c>
      <c r="Y5" t="s">
        <v>124</v>
      </c>
      <c r="Z5" t="s">
        <v>136</v>
      </c>
      <c r="AA5" t="s">
        <v>51</v>
      </c>
      <c r="AB5" t="s">
        <v>107</v>
      </c>
      <c r="AC5" t="s">
        <v>105</v>
      </c>
      <c r="AD5" t="s">
        <v>130</v>
      </c>
      <c r="AE5" t="s">
        <v>64</v>
      </c>
      <c r="AF5" t="s">
        <v>128</v>
      </c>
      <c r="AG5" t="s">
        <v>66</v>
      </c>
    </row>
    <row r="6" spans="1:33" x14ac:dyDescent="0.25">
      <c r="A6" t="s">
        <v>4</v>
      </c>
      <c r="B6" s="6">
        <v>0.5</v>
      </c>
      <c r="C6" s="6">
        <v>0.2857142857142857</v>
      </c>
      <c r="D6" s="6">
        <v>0.2857142857142857</v>
      </c>
      <c r="E6" s="6">
        <v>0.21428571428571427</v>
      </c>
      <c r="F6" s="6" t="s">
        <v>32</v>
      </c>
      <c r="G6" s="6">
        <v>0.47058823529411764</v>
      </c>
      <c r="H6" s="6">
        <v>0.47058823529411764</v>
      </c>
      <c r="I6" s="6">
        <v>0.33333333333333331</v>
      </c>
      <c r="J6" s="6">
        <v>0.4</v>
      </c>
      <c r="K6" s="6">
        <v>0.35714285714285715</v>
      </c>
      <c r="L6" s="6">
        <v>0.5</v>
      </c>
      <c r="M6" s="6">
        <v>0.33333333333333331</v>
      </c>
      <c r="N6" s="6">
        <v>0.18181818181818182</v>
      </c>
      <c r="O6" s="6">
        <v>0.2</v>
      </c>
      <c r="P6" s="6">
        <v>0.73333333333333328</v>
      </c>
      <c r="Q6" s="6">
        <v>0</v>
      </c>
      <c r="R6" t="s">
        <v>187</v>
      </c>
      <c r="S6" t="s">
        <v>82</v>
      </c>
      <c r="T6" t="s">
        <v>139</v>
      </c>
      <c r="U6" t="s">
        <v>193</v>
      </c>
      <c r="V6" t="s">
        <v>32</v>
      </c>
      <c r="W6" t="s">
        <v>157</v>
      </c>
      <c r="X6" t="s">
        <v>157</v>
      </c>
      <c r="Y6" t="s">
        <v>137</v>
      </c>
      <c r="Z6" t="s">
        <v>194</v>
      </c>
      <c r="AA6" t="s">
        <v>115</v>
      </c>
      <c r="AB6" t="s">
        <v>102</v>
      </c>
      <c r="AC6" t="s">
        <v>122</v>
      </c>
      <c r="AD6" t="s">
        <v>118</v>
      </c>
      <c r="AE6" t="s">
        <v>64</v>
      </c>
      <c r="AF6" t="s">
        <v>186</v>
      </c>
      <c r="AG6" t="s">
        <v>88</v>
      </c>
    </row>
    <row r="7" spans="1:33" x14ac:dyDescent="0.25">
      <c r="A7" t="s">
        <v>6</v>
      </c>
      <c r="B7" s="6">
        <v>0.5</v>
      </c>
      <c r="C7" s="6">
        <v>0.5</v>
      </c>
      <c r="D7" s="6">
        <v>0.44444444444444442</v>
      </c>
      <c r="E7" s="6">
        <v>0.41666666666666669</v>
      </c>
      <c r="F7" s="6">
        <v>0.52941176470588236</v>
      </c>
      <c r="G7" s="6" t="s">
        <v>32</v>
      </c>
      <c r="H7" s="6">
        <v>0.45454545454545453</v>
      </c>
      <c r="I7" s="6">
        <v>0.2857142857142857</v>
      </c>
      <c r="J7" s="6">
        <v>0.45</v>
      </c>
      <c r="K7" s="6">
        <v>0.375</v>
      </c>
      <c r="L7" s="6">
        <v>0.5</v>
      </c>
      <c r="M7" s="6">
        <v>0.375</v>
      </c>
      <c r="N7" s="6">
        <v>0.3</v>
      </c>
      <c r="O7" s="6">
        <v>0.5</v>
      </c>
      <c r="P7" s="6">
        <v>0.76923076923076927</v>
      </c>
      <c r="Q7" s="6">
        <v>0</v>
      </c>
      <c r="R7" t="s">
        <v>133</v>
      </c>
      <c r="S7" t="s">
        <v>65</v>
      </c>
      <c r="T7" t="s">
        <v>138</v>
      </c>
      <c r="U7" t="s">
        <v>83</v>
      </c>
      <c r="V7" t="s">
        <v>145</v>
      </c>
      <c r="W7" t="s">
        <v>32</v>
      </c>
      <c r="X7" t="s">
        <v>68</v>
      </c>
      <c r="Y7" t="s">
        <v>139</v>
      </c>
      <c r="Z7" t="s">
        <v>120</v>
      </c>
      <c r="AA7" t="s">
        <v>85</v>
      </c>
      <c r="AB7" t="s">
        <v>102</v>
      </c>
      <c r="AC7" t="s">
        <v>85</v>
      </c>
      <c r="AD7" t="s">
        <v>100</v>
      </c>
      <c r="AE7" t="s">
        <v>59</v>
      </c>
      <c r="AF7" t="s">
        <v>158</v>
      </c>
      <c r="AG7" t="s">
        <v>88</v>
      </c>
    </row>
    <row r="8" spans="1:33" x14ac:dyDescent="0.25">
      <c r="A8" t="s">
        <v>5</v>
      </c>
      <c r="B8" s="6">
        <v>0.58333333333333337</v>
      </c>
      <c r="C8" s="6">
        <v>0.4</v>
      </c>
      <c r="D8" s="6">
        <v>0.4</v>
      </c>
      <c r="E8" s="6">
        <v>0.375</v>
      </c>
      <c r="F8" s="6">
        <v>0.52941176470588236</v>
      </c>
      <c r="G8" s="6">
        <v>0.54545454545454541</v>
      </c>
      <c r="H8" s="6" t="s">
        <v>32</v>
      </c>
      <c r="I8" s="6">
        <v>0.4375</v>
      </c>
      <c r="J8" s="6">
        <v>0.46153846153846156</v>
      </c>
      <c r="K8" s="6">
        <v>0.36363636363636365</v>
      </c>
      <c r="L8" s="6">
        <v>0.5</v>
      </c>
      <c r="M8" s="6">
        <v>0.27272727272727271</v>
      </c>
      <c r="N8" s="6">
        <v>0.38461538461538464</v>
      </c>
      <c r="O8" s="6">
        <v>0.4</v>
      </c>
      <c r="P8" s="6">
        <v>0.70588235294117652</v>
      </c>
      <c r="Q8" s="6">
        <v>0</v>
      </c>
      <c r="R8" t="s">
        <v>144</v>
      </c>
      <c r="S8" t="s">
        <v>73</v>
      </c>
      <c r="T8" t="s">
        <v>156</v>
      </c>
      <c r="U8" t="s">
        <v>195</v>
      </c>
      <c r="V8" t="s">
        <v>145</v>
      </c>
      <c r="W8" t="s">
        <v>51</v>
      </c>
      <c r="X8" t="s">
        <v>32</v>
      </c>
      <c r="Y8" t="s">
        <v>124</v>
      </c>
      <c r="Z8" t="s">
        <v>196</v>
      </c>
      <c r="AA8" t="s">
        <v>117</v>
      </c>
      <c r="AB8" t="s">
        <v>102</v>
      </c>
      <c r="AC8" t="s">
        <v>78</v>
      </c>
      <c r="AD8" t="s">
        <v>119</v>
      </c>
      <c r="AE8" t="s">
        <v>73</v>
      </c>
      <c r="AF8" t="s">
        <v>197</v>
      </c>
      <c r="AG8" t="s">
        <v>88</v>
      </c>
    </row>
    <row r="9" spans="1:33" x14ac:dyDescent="0.25">
      <c r="A9" t="s">
        <v>8</v>
      </c>
      <c r="B9" s="6">
        <v>0.6</v>
      </c>
      <c r="C9" s="6">
        <v>0.33333333333333331</v>
      </c>
      <c r="D9" s="6">
        <v>0.44444444444444442</v>
      </c>
      <c r="E9" s="6">
        <v>0.5625</v>
      </c>
      <c r="F9" s="6">
        <v>0.66666666666666663</v>
      </c>
      <c r="G9" s="6">
        <v>0.7142857142857143</v>
      </c>
      <c r="H9" s="6">
        <v>0.5625</v>
      </c>
      <c r="I9" s="6" t="s">
        <v>32</v>
      </c>
      <c r="J9" s="6">
        <v>0.41666666666666669</v>
      </c>
      <c r="K9" s="6">
        <v>0.2</v>
      </c>
      <c r="L9" s="6">
        <v>0.5</v>
      </c>
      <c r="M9" s="6">
        <v>0.2857142857142857</v>
      </c>
      <c r="N9" s="6">
        <v>0.66666666666666663</v>
      </c>
      <c r="O9" s="6">
        <v>0</v>
      </c>
      <c r="P9" s="6">
        <v>0.76923076923076927</v>
      </c>
      <c r="Q9" s="6" t="s">
        <v>32</v>
      </c>
      <c r="R9" t="s">
        <v>198</v>
      </c>
      <c r="S9" t="s">
        <v>63</v>
      </c>
      <c r="T9" t="s">
        <v>80</v>
      </c>
      <c r="U9" t="s">
        <v>111</v>
      </c>
      <c r="V9" t="s">
        <v>141</v>
      </c>
      <c r="W9" t="s">
        <v>142</v>
      </c>
      <c r="X9" t="s">
        <v>111</v>
      </c>
      <c r="Y9" t="s">
        <v>32</v>
      </c>
      <c r="Z9" t="s">
        <v>83</v>
      </c>
      <c r="AA9" t="s">
        <v>64</v>
      </c>
      <c r="AB9" t="s">
        <v>65</v>
      </c>
      <c r="AC9" t="s">
        <v>82</v>
      </c>
      <c r="AD9" t="s">
        <v>50</v>
      </c>
      <c r="AE9" t="s">
        <v>60</v>
      </c>
      <c r="AF9" t="s">
        <v>158</v>
      </c>
      <c r="AG9" t="s">
        <v>32</v>
      </c>
    </row>
    <row r="10" spans="1:33" x14ac:dyDescent="0.25">
      <c r="A10" t="s">
        <v>12</v>
      </c>
      <c r="B10" s="6">
        <v>0.66666666666666663</v>
      </c>
      <c r="C10" s="6">
        <v>0.25</v>
      </c>
      <c r="D10" s="6">
        <v>0.36363636363636365</v>
      </c>
      <c r="E10" s="6">
        <v>0.47368421052631576</v>
      </c>
      <c r="F10" s="6">
        <v>0.6</v>
      </c>
      <c r="G10" s="6">
        <v>0.55000000000000004</v>
      </c>
      <c r="H10" s="6">
        <v>0.53846153846153844</v>
      </c>
      <c r="I10" s="6">
        <v>0.58333333333333337</v>
      </c>
      <c r="J10" s="6" t="s">
        <v>32</v>
      </c>
      <c r="K10" s="6">
        <v>0.4375</v>
      </c>
      <c r="L10" s="6">
        <v>0.42857142857142855</v>
      </c>
      <c r="M10" s="6">
        <v>0.27272727272727271</v>
      </c>
      <c r="N10" s="6">
        <v>0.5</v>
      </c>
      <c r="O10" s="6">
        <v>0.6</v>
      </c>
      <c r="P10" s="6">
        <v>0.81818181818181823</v>
      </c>
      <c r="Q10" s="6" t="s">
        <v>32</v>
      </c>
      <c r="R10" t="s">
        <v>127</v>
      </c>
      <c r="S10" t="s">
        <v>69</v>
      </c>
      <c r="T10" t="s">
        <v>199</v>
      </c>
      <c r="U10" t="s">
        <v>132</v>
      </c>
      <c r="V10" t="s">
        <v>200</v>
      </c>
      <c r="W10" t="s">
        <v>126</v>
      </c>
      <c r="X10" t="s">
        <v>201</v>
      </c>
      <c r="Y10" t="s">
        <v>53</v>
      </c>
      <c r="Z10" t="s">
        <v>32</v>
      </c>
      <c r="AA10" t="s">
        <v>124</v>
      </c>
      <c r="AB10" t="s">
        <v>72</v>
      </c>
      <c r="AC10" t="s">
        <v>78</v>
      </c>
      <c r="AD10" t="s">
        <v>109</v>
      </c>
      <c r="AE10" t="s">
        <v>74</v>
      </c>
      <c r="AF10" t="s">
        <v>89</v>
      </c>
      <c r="AG10" t="s">
        <v>32</v>
      </c>
    </row>
    <row r="11" spans="1:33" x14ac:dyDescent="0.25">
      <c r="A11" t="s">
        <v>23</v>
      </c>
      <c r="B11" s="6">
        <v>0.6428571428571429</v>
      </c>
      <c r="C11" s="6">
        <v>0.33333333333333331</v>
      </c>
      <c r="D11" s="6">
        <v>0.5</v>
      </c>
      <c r="E11" s="6">
        <v>0.45454545454545453</v>
      </c>
      <c r="F11" s="6">
        <v>0.6428571428571429</v>
      </c>
      <c r="G11" s="6">
        <v>0.625</v>
      </c>
      <c r="H11" s="6">
        <v>0.63636363636363635</v>
      </c>
      <c r="I11" s="6">
        <v>0.8</v>
      </c>
      <c r="J11" s="6">
        <v>0.5625</v>
      </c>
      <c r="K11" s="6" t="s">
        <v>32</v>
      </c>
      <c r="L11" s="6">
        <v>0.5714285714285714</v>
      </c>
      <c r="M11" s="6">
        <v>0.5</v>
      </c>
      <c r="N11" s="6">
        <v>0.5</v>
      </c>
      <c r="O11" s="6" t="s">
        <v>32</v>
      </c>
      <c r="P11" s="6">
        <v>0.7142857142857143</v>
      </c>
      <c r="Q11" s="6" t="s">
        <v>32</v>
      </c>
      <c r="R11" t="s">
        <v>123</v>
      </c>
      <c r="S11" t="s">
        <v>63</v>
      </c>
      <c r="T11" t="s">
        <v>109</v>
      </c>
      <c r="U11" t="s">
        <v>68</v>
      </c>
      <c r="V11" t="s">
        <v>123</v>
      </c>
      <c r="W11" t="s">
        <v>107</v>
      </c>
      <c r="X11" t="s">
        <v>58</v>
      </c>
      <c r="Y11" t="s">
        <v>104</v>
      </c>
      <c r="Z11" t="s">
        <v>111</v>
      </c>
      <c r="AA11" t="s">
        <v>32</v>
      </c>
      <c r="AB11" t="s">
        <v>76</v>
      </c>
      <c r="AC11" t="s">
        <v>57</v>
      </c>
      <c r="AD11" t="s">
        <v>59</v>
      </c>
      <c r="AE11" t="s">
        <v>32</v>
      </c>
      <c r="AF11" t="s">
        <v>142</v>
      </c>
      <c r="AG11" t="s">
        <v>32</v>
      </c>
    </row>
    <row r="12" spans="1:33" x14ac:dyDescent="0.25">
      <c r="A12" t="s">
        <v>11</v>
      </c>
      <c r="B12" s="6">
        <v>0.7142857142857143</v>
      </c>
      <c r="C12" s="6">
        <v>0</v>
      </c>
      <c r="D12" s="6">
        <v>0.5</v>
      </c>
      <c r="E12" s="6">
        <v>0.375</v>
      </c>
      <c r="F12" s="6">
        <v>0.5</v>
      </c>
      <c r="G12" s="6">
        <v>0.5</v>
      </c>
      <c r="H12" s="6">
        <v>0.5</v>
      </c>
      <c r="I12" s="6">
        <v>0.5</v>
      </c>
      <c r="J12" s="6">
        <v>0.5714285714285714</v>
      </c>
      <c r="K12" s="6">
        <v>0.42857142857142855</v>
      </c>
      <c r="L12" s="6" t="s">
        <v>32</v>
      </c>
      <c r="M12" s="6">
        <v>0.4</v>
      </c>
      <c r="N12" s="6">
        <v>1</v>
      </c>
      <c r="O12" s="6">
        <v>1</v>
      </c>
      <c r="P12" s="6">
        <v>0.7142857142857143</v>
      </c>
      <c r="Q12" s="6" t="s">
        <v>32</v>
      </c>
      <c r="R12" t="s">
        <v>112</v>
      </c>
      <c r="S12" t="s">
        <v>60</v>
      </c>
      <c r="T12" t="s">
        <v>57</v>
      </c>
      <c r="U12" t="s">
        <v>85</v>
      </c>
      <c r="V12" t="s">
        <v>102</v>
      </c>
      <c r="W12" t="s">
        <v>102</v>
      </c>
      <c r="X12" t="s">
        <v>102</v>
      </c>
      <c r="Y12" t="s">
        <v>65</v>
      </c>
      <c r="Z12" t="s">
        <v>76</v>
      </c>
      <c r="AA12" t="s">
        <v>72</v>
      </c>
      <c r="AB12" t="s">
        <v>32</v>
      </c>
      <c r="AC12" t="s">
        <v>73</v>
      </c>
      <c r="AD12" t="s">
        <v>61</v>
      </c>
      <c r="AE12" t="s">
        <v>61</v>
      </c>
      <c r="AF12" t="s">
        <v>112</v>
      </c>
      <c r="AG12" t="s">
        <v>32</v>
      </c>
    </row>
    <row r="13" spans="1:33" x14ac:dyDescent="0.25">
      <c r="A13" t="s">
        <v>9</v>
      </c>
      <c r="B13" s="6">
        <v>0.6428571428571429</v>
      </c>
      <c r="C13" s="6" t="s">
        <v>32</v>
      </c>
      <c r="D13" s="6">
        <v>0.5</v>
      </c>
      <c r="E13" s="6">
        <v>0.33333333333333331</v>
      </c>
      <c r="F13" s="6">
        <v>0.66666666666666663</v>
      </c>
      <c r="G13" s="6">
        <v>0.625</v>
      </c>
      <c r="H13" s="6">
        <v>0.72727272727272729</v>
      </c>
      <c r="I13" s="6">
        <v>0.7142857142857143</v>
      </c>
      <c r="J13" s="6">
        <v>0.72727272727272729</v>
      </c>
      <c r="K13" s="6">
        <v>0.5</v>
      </c>
      <c r="L13" s="6">
        <v>0.6</v>
      </c>
      <c r="M13" s="6" t="s">
        <v>32</v>
      </c>
      <c r="N13" s="6">
        <v>0.25</v>
      </c>
      <c r="O13" s="6">
        <v>0.5</v>
      </c>
      <c r="P13" s="6">
        <v>0.91666666666666663</v>
      </c>
      <c r="Q13" s="6" t="s">
        <v>32</v>
      </c>
      <c r="R13" t="s">
        <v>123</v>
      </c>
      <c r="S13" t="s">
        <v>32</v>
      </c>
      <c r="T13" t="s">
        <v>109</v>
      </c>
      <c r="U13" t="s">
        <v>113</v>
      </c>
      <c r="V13" t="s">
        <v>79</v>
      </c>
      <c r="W13" t="s">
        <v>107</v>
      </c>
      <c r="X13" t="s">
        <v>110</v>
      </c>
      <c r="Y13" t="s">
        <v>112</v>
      </c>
      <c r="Z13" t="s">
        <v>110</v>
      </c>
      <c r="AA13" t="s">
        <v>57</v>
      </c>
      <c r="AB13" t="s">
        <v>74</v>
      </c>
      <c r="AC13" t="s">
        <v>32</v>
      </c>
      <c r="AD13" t="s">
        <v>69</v>
      </c>
      <c r="AE13" t="s">
        <v>59</v>
      </c>
      <c r="AF13" t="s">
        <v>129</v>
      </c>
      <c r="AG13" t="s">
        <v>32</v>
      </c>
    </row>
    <row r="14" spans="1:33" x14ac:dyDescent="0.25">
      <c r="A14" t="s">
        <v>24</v>
      </c>
      <c r="B14" s="6">
        <v>0.5714285714285714</v>
      </c>
      <c r="C14" s="6" t="s">
        <v>32</v>
      </c>
      <c r="D14" s="6">
        <v>0.5</v>
      </c>
      <c r="E14" s="6">
        <v>0.77777777777777779</v>
      </c>
      <c r="F14" s="6">
        <v>0.81818181818181823</v>
      </c>
      <c r="G14" s="6">
        <v>0.7</v>
      </c>
      <c r="H14" s="6">
        <v>0.61538461538461542</v>
      </c>
      <c r="I14" s="6">
        <v>0.33333333333333331</v>
      </c>
      <c r="J14" s="6">
        <v>0.5</v>
      </c>
      <c r="K14" s="6">
        <v>0.5</v>
      </c>
      <c r="L14" s="6">
        <v>0</v>
      </c>
      <c r="M14" s="6">
        <v>0.75</v>
      </c>
      <c r="N14" s="6" t="s">
        <v>32</v>
      </c>
      <c r="O14" s="6" t="s">
        <v>32</v>
      </c>
      <c r="P14" s="6">
        <v>1</v>
      </c>
      <c r="Q14" s="6">
        <v>0</v>
      </c>
      <c r="R14" t="s">
        <v>71</v>
      </c>
      <c r="S14" t="s">
        <v>32</v>
      </c>
      <c r="T14" t="s">
        <v>57</v>
      </c>
      <c r="U14" t="s">
        <v>55</v>
      </c>
      <c r="V14" t="s">
        <v>89</v>
      </c>
      <c r="W14" t="s">
        <v>70</v>
      </c>
      <c r="X14" t="s">
        <v>114</v>
      </c>
      <c r="Y14" t="s">
        <v>63</v>
      </c>
      <c r="Z14" t="s">
        <v>109</v>
      </c>
      <c r="AA14" t="s">
        <v>59</v>
      </c>
      <c r="AB14" t="s">
        <v>60</v>
      </c>
      <c r="AC14" t="s">
        <v>56</v>
      </c>
      <c r="AD14" t="s">
        <v>32</v>
      </c>
      <c r="AE14" t="s">
        <v>32</v>
      </c>
      <c r="AF14" t="s">
        <v>143</v>
      </c>
      <c r="AG14" t="s">
        <v>60</v>
      </c>
    </row>
    <row r="15" spans="1:33" x14ac:dyDescent="0.25">
      <c r="A15" t="s">
        <v>26</v>
      </c>
      <c r="B15" s="6">
        <v>0.25</v>
      </c>
      <c r="C15" s="6" t="s">
        <v>32</v>
      </c>
      <c r="D15" s="6">
        <v>0.33333333333333331</v>
      </c>
      <c r="E15" s="6">
        <v>0.8</v>
      </c>
      <c r="F15" s="6">
        <v>0.8</v>
      </c>
      <c r="G15" s="6">
        <v>0.5</v>
      </c>
      <c r="H15" s="6">
        <v>0.6</v>
      </c>
      <c r="I15" s="6">
        <v>1</v>
      </c>
      <c r="J15" s="6">
        <v>0.4</v>
      </c>
      <c r="K15" s="6" t="s">
        <v>32</v>
      </c>
      <c r="L15" s="6">
        <v>0</v>
      </c>
      <c r="M15" s="6">
        <v>0.5</v>
      </c>
      <c r="N15" s="6" t="s">
        <v>32</v>
      </c>
      <c r="O15" s="6" t="s">
        <v>32</v>
      </c>
      <c r="P15" s="6">
        <v>1</v>
      </c>
      <c r="Q15" s="6" t="s">
        <v>32</v>
      </c>
      <c r="R15" t="s">
        <v>69</v>
      </c>
      <c r="S15" t="s">
        <v>32</v>
      </c>
      <c r="T15" t="s">
        <v>63</v>
      </c>
      <c r="U15" t="s">
        <v>104</v>
      </c>
      <c r="V15" t="s">
        <v>104</v>
      </c>
      <c r="W15" t="s">
        <v>59</v>
      </c>
      <c r="X15" t="s">
        <v>74</v>
      </c>
      <c r="Y15" t="s">
        <v>61</v>
      </c>
      <c r="Z15" t="s">
        <v>73</v>
      </c>
      <c r="AA15" t="s">
        <v>32</v>
      </c>
      <c r="AB15" t="s">
        <v>60</v>
      </c>
      <c r="AC15" t="s">
        <v>59</v>
      </c>
      <c r="AD15" t="s">
        <v>32</v>
      </c>
      <c r="AE15" t="s">
        <v>32</v>
      </c>
      <c r="AF15" t="s">
        <v>61</v>
      </c>
      <c r="AG15" t="s">
        <v>32</v>
      </c>
    </row>
    <row r="16" spans="1:33" x14ac:dyDescent="0.25">
      <c r="A16" t="s">
        <v>7</v>
      </c>
      <c r="B16" s="6">
        <v>0.33333333333333331</v>
      </c>
      <c r="C16" s="6">
        <v>0.33333333333333331</v>
      </c>
      <c r="D16" s="6">
        <v>0.14285714285714285</v>
      </c>
      <c r="E16" s="6">
        <v>0.2</v>
      </c>
      <c r="F16" s="6">
        <v>0.26666666666666666</v>
      </c>
      <c r="G16" s="6">
        <v>0.23076923076923078</v>
      </c>
      <c r="H16" s="6">
        <v>0.29411764705882354</v>
      </c>
      <c r="I16" s="6">
        <v>0.23076923076923078</v>
      </c>
      <c r="J16" s="6">
        <v>0.18181818181818182</v>
      </c>
      <c r="K16" s="6">
        <v>0.2857142857142857</v>
      </c>
      <c r="L16" s="6">
        <v>0.2857142857142857</v>
      </c>
      <c r="M16" s="6">
        <v>8.3333333333333329E-2</v>
      </c>
      <c r="N16" s="6">
        <v>0</v>
      </c>
      <c r="O16" s="6">
        <v>0</v>
      </c>
      <c r="P16" s="6" t="s">
        <v>32</v>
      </c>
      <c r="Q16" s="6">
        <v>0</v>
      </c>
      <c r="R16" t="s">
        <v>113</v>
      </c>
      <c r="S16" t="s">
        <v>63</v>
      </c>
      <c r="T16" t="s">
        <v>67</v>
      </c>
      <c r="U16" t="s">
        <v>121</v>
      </c>
      <c r="V16" t="s">
        <v>202</v>
      </c>
      <c r="W16" t="s">
        <v>160</v>
      </c>
      <c r="X16" t="s">
        <v>203</v>
      </c>
      <c r="Y16" t="s">
        <v>160</v>
      </c>
      <c r="Z16" t="s">
        <v>118</v>
      </c>
      <c r="AA16" t="s">
        <v>139</v>
      </c>
      <c r="AB16" t="s">
        <v>82</v>
      </c>
      <c r="AC16" t="s">
        <v>131</v>
      </c>
      <c r="AD16" t="s">
        <v>86</v>
      </c>
      <c r="AE16" t="s">
        <v>60</v>
      </c>
      <c r="AF16" t="s">
        <v>32</v>
      </c>
      <c r="AG16" t="s">
        <v>66</v>
      </c>
    </row>
    <row r="17" spans="1:33" x14ac:dyDescent="0.25">
      <c r="A17" t="s">
        <v>10</v>
      </c>
      <c r="B17" s="6">
        <v>1</v>
      </c>
      <c r="C17" s="6" t="s">
        <v>32</v>
      </c>
      <c r="D17" s="6" t="s">
        <v>32</v>
      </c>
      <c r="E17" s="6">
        <v>1</v>
      </c>
      <c r="F17" s="6">
        <v>1</v>
      </c>
      <c r="G17" s="6">
        <v>1</v>
      </c>
      <c r="H17" s="6">
        <v>1</v>
      </c>
      <c r="I17" s="6" t="s">
        <v>32</v>
      </c>
      <c r="J17" s="6" t="s">
        <v>32</v>
      </c>
      <c r="K17" s="6" t="s">
        <v>32</v>
      </c>
      <c r="L17" s="6" t="s">
        <v>32</v>
      </c>
      <c r="M17" s="6" t="s">
        <v>32</v>
      </c>
      <c r="N17" s="6">
        <v>1</v>
      </c>
      <c r="O17" s="6" t="s">
        <v>32</v>
      </c>
      <c r="P17" s="6">
        <v>1</v>
      </c>
      <c r="Q17" s="6" t="s">
        <v>32</v>
      </c>
      <c r="R17" t="s">
        <v>106</v>
      </c>
      <c r="S17" t="s">
        <v>32</v>
      </c>
      <c r="T17" t="s">
        <v>32</v>
      </c>
      <c r="U17" t="s">
        <v>90</v>
      </c>
      <c r="V17" t="s">
        <v>87</v>
      </c>
      <c r="W17" t="s">
        <v>87</v>
      </c>
      <c r="X17" t="s">
        <v>87</v>
      </c>
      <c r="Y17" t="s">
        <v>32</v>
      </c>
      <c r="Z17" t="s">
        <v>32</v>
      </c>
      <c r="AA17" t="s">
        <v>32</v>
      </c>
      <c r="AB17" t="s">
        <v>32</v>
      </c>
      <c r="AC17" t="s">
        <v>32</v>
      </c>
      <c r="AD17" t="s">
        <v>61</v>
      </c>
      <c r="AE17" t="s">
        <v>32</v>
      </c>
      <c r="AF17" t="s">
        <v>90</v>
      </c>
      <c r="AG17" t="s">
        <v>32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theme="7" tint="0.59999389629810485"/>
  </sheetPr>
  <dimension ref="A1:H9"/>
  <sheetViews>
    <sheetView workbookViewId="0">
      <selection activeCell="H35" sqref="H35"/>
    </sheetView>
  </sheetViews>
  <sheetFormatPr defaultRowHeight="15" x14ac:dyDescent="0.25"/>
  <cols>
    <col min="3" max="3" width="13.140625" customWidth="1"/>
  </cols>
  <sheetData>
    <row r="1" spans="1:8" x14ac:dyDescent="0.25">
      <c r="A1" t="s">
        <v>1</v>
      </c>
      <c r="B1" t="s">
        <v>95</v>
      </c>
      <c r="C1" s="1" t="s">
        <v>98</v>
      </c>
      <c r="F1" t="s">
        <v>179</v>
      </c>
    </row>
    <row r="2" spans="1:8" x14ac:dyDescent="0.25">
      <c r="A2" t="s">
        <v>14</v>
      </c>
      <c r="B2" s="13">
        <v>8</v>
      </c>
      <c r="C2" s="6">
        <v>0.18604651162790697</v>
      </c>
    </row>
    <row r="3" spans="1:8" x14ac:dyDescent="0.25">
      <c r="A3" t="s">
        <v>17</v>
      </c>
      <c r="B3" s="9">
        <v>8</v>
      </c>
      <c r="C3" s="7">
        <v>0.18604651162790697</v>
      </c>
    </row>
    <row r="4" spans="1:8" x14ac:dyDescent="0.25">
      <c r="A4" t="s">
        <v>21</v>
      </c>
      <c r="B4" s="9">
        <v>2</v>
      </c>
      <c r="C4" s="7">
        <v>4.6511627906976744E-2</v>
      </c>
      <c r="D4" s="7"/>
      <c r="E4" s="7"/>
      <c r="F4" s="7"/>
      <c r="G4" s="7"/>
      <c r="H4" s="7"/>
    </row>
    <row r="5" spans="1:8" x14ac:dyDescent="0.25">
      <c r="A5" t="s">
        <v>25</v>
      </c>
      <c r="B5" s="9">
        <v>3</v>
      </c>
      <c r="C5" s="7">
        <v>6.9767441860465115E-2</v>
      </c>
    </row>
    <row r="6" spans="1:8" x14ac:dyDescent="0.25">
      <c r="A6" t="s">
        <v>13</v>
      </c>
      <c r="B6" s="9">
        <v>4</v>
      </c>
      <c r="C6" s="7">
        <v>9.3023255813953487E-2</v>
      </c>
    </row>
    <row r="7" spans="1:8" x14ac:dyDescent="0.25">
      <c r="A7" t="s">
        <v>19</v>
      </c>
      <c r="B7" s="9">
        <v>5</v>
      </c>
      <c r="C7" s="7">
        <v>0.11627906976744186</v>
      </c>
    </row>
    <row r="8" spans="1:8" x14ac:dyDescent="0.25">
      <c r="A8" t="s">
        <v>20</v>
      </c>
      <c r="B8" s="9">
        <v>5</v>
      </c>
      <c r="C8" s="7">
        <v>0.11627906976744186</v>
      </c>
    </row>
    <row r="9" spans="1:8" x14ac:dyDescent="0.25">
      <c r="A9" t="s">
        <v>2</v>
      </c>
      <c r="B9" s="9">
        <v>8</v>
      </c>
      <c r="C9" s="7">
        <v>0.18604651162790697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theme="7" tint="0.59999389629810485"/>
  </sheetPr>
  <dimension ref="A1:F17"/>
  <sheetViews>
    <sheetView workbookViewId="0">
      <selection activeCell="H35" sqref="H35"/>
    </sheetView>
  </sheetViews>
  <sheetFormatPr defaultRowHeight="15" x14ac:dyDescent="0.25"/>
  <cols>
    <col min="1" max="1" width="10.42578125" bestFit="1" customWidth="1"/>
    <col min="2" max="2" width="11.28515625" style="6" bestFit="1" customWidth="1"/>
    <col min="3" max="3" width="12.5703125" bestFit="1" customWidth="1"/>
    <col min="4" max="4" width="14.140625" customWidth="1"/>
  </cols>
  <sheetData>
    <row r="1" spans="1:6" x14ac:dyDescent="0.25">
      <c r="A1" s="3" t="s">
        <v>27</v>
      </c>
      <c r="B1" s="6" t="s">
        <v>29</v>
      </c>
      <c r="C1" t="s">
        <v>33</v>
      </c>
      <c r="D1" t="s">
        <v>34</v>
      </c>
      <c r="F1" t="s">
        <v>179</v>
      </c>
    </row>
    <row r="2" spans="1:6" x14ac:dyDescent="0.25">
      <c r="A2" s="1" t="s">
        <v>3</v>
      </c>
      <c r="B2" s="7">
        <v>0.59459459459459463</v>
      </c>
      <c r="C2" s="1">
        <v>22</v>
      </c>
      <c r="D2" s="9">
        <v>37</v>
      </c>
    </row>
    <row r="3" spans="1:6" x14ac:dyDescent="0.25">
      <c r="A3" s="1" t="s">
        <v>18</v>
      </c>
      <c r="B3" s="7">
        <v>0.2857142857142857</v>
      </c>
      <c r="C3" s="1">
        <v>2</v>
      </c>
      <c r="D3" s="9">
        <v>7</v>
      </c>
    </row>
    <row r="4" spans="1:6" x14ac:dyDescent="0.25">
      <c r="A4" s="1" t="s">
        <v>16</v>
      </c>
      <c r="B4" s="7">
        <v>0.41935483870967744</v>
      </c>
      <c r="C4" s="1">
        <v>13</v>
      </c>
      <c r="D4" s="9">
        <v>31</v>
      </c>
    </row>
    <row r="5" spans="1:6" x14ac:dyDescent="0.25">
      <c r="A5" s="1" t="s">
        <v>22</v>
      </c>
      <c r="B5" s="7">
        <v>0.5</v>
      </c>
      <c r="C5" s="1">
        <v>16</v>
      </c>
      <c r="D5" s="9">
        <v>32</v>
      </c>
    </row>
    <row r="6" spans="1:6" x14ac:dyDescent="0.25">
      <c r="A6" s="1" t="s">
        <v>4</v>
      </c>
      <c r="B6" s="7">
        <v>0.58536585365853655</v>
      </c>
      <c r="C6" s="1">
        <v>24</v>
      </c>
      <c r="D6" s="9">
        <v>41</v>
      </c>
    </row>
    <row r="7" spans="1:6" x14ac:dyDescent="0.25">
      <c r="A7" s="1" t="s">
        <v>6</v>
      </c>
      <c r="B7" s="7">
        <v>0.55555555555555558</v>
      </c>
      <c r="C7" s="1">
        <v>20</v>
      </c>
      <c r="D7" s="9">
        <v>36</v>
      </c>
    </row>
    <row r="8" spans="1:6" x14ac:dyDescent="0.25">
      <c r="A8" s="1" t="s">
        <v>5</v>
      </c>
      <c r="B8" s="7">
        <v>0.51219512195121952</v>
      </c>
      <c r="C8" s="1">
        <v>21</v>
      </c>
      <c r="D8" s="9">
        <v>41</v>
      </c>
    </row>
    <row r="9" spans="1:6" x14ac:dyDescent="0.25">
      <c r="A9" s="1" t="s">
        <v>8</v>
      </c>
      <c r="B9" s="7">
        <v>0.40740740740740738</v>
      </c>
      <c r="C9" s="1">
        <v>11</v>
      </c>
      <c r="D9" s="9">
        <v>27</v>
      </c>
    </row>
    <row r="10" spans="1:6" x14ac:dyDescent="0.25">
      <c r="A10" s="1" t="s">
        <v>12</v>
      </c>
      <c r="B10" s="7">
        <v>0.51219512195121952</v>
      </c>
      <c r="C10" s="1">
        <v>21</v>
      </c>
      <c r="D10" s="9">
        <v>41</v>
      </c>
    </row>
    <row r="11" spans="1:6" x14ac:dyDescent="0.25">
      <c r="A11" s="2" t="s">
        <v>23</v>
      </c>
      <c r="B11" s="7">
        <v>0.39130434782608697</v>
      </c>
      <c r="C11" s="1">
        <v>9</v>
      </c>
      <c r="D11" s="9">
        <v>23</v>
      </c>
    </row>
    <row r="12" spans="1:6" x14ac:dyDescent="0.25">
      <c r="A12" s="1" t="s">
        <v>11</v>
      </c>
      <c r="B12" s="7">
        <v>0.5</v>
      </c>
      <c r="C12" s="1">
        <v>10</v>
      </c>
      <c r="D12" s="9">
        <v>20</v>
      </c>
    </row>
    <row r="13" spans="1:6" x14ac:dyDescent="0.25">
      <c r="A13" s="1" t="s">
        <v>9</v>
      </c>
      <c r="B13" s="7">
        <v>0.36363636363636365</v>
      </c>
      <c r="C13" s="1">
        <v>8</v>
      </c>
      <c r="D13" s="9">
        <v>22</v>
      </c>
    </row>
    <row r="14" spans="1:6" x14ac:dyDescent="0.25">
      <c r="A14" s="1" t="s">
        <v>24</v>
      </c>
      <c r="B14" s="7">
        <v>0.36842105263157893</v>
      </c>
      <c r="C14" s="1">
        <v>7</v>
      </c>
      <c r="D14" s="9">
        <v>19</v>
      </c>
    </row>
    <row r="15" spans="1:6" x14ac:dyDescent="0.25">
      <c r="A15" s="1" t="s">
        <v>26</v>
      </c>
      <c r="B15" s="7">
        <v>0.42857142857142855</v>
      </c>
      <c r="C15" s="1">
        <v>3</v>
      </c>
      <c r="D15" s="9">
        <v>7</v>
      </c>
    </row>
    <row r="16" spans="1:6" x14ac:dyDescent="0.25">
      <c r="A16" s="1" t="s">
        <v>7</v>
      </c>
      <c r="B16" s="7">
        <v>0.84615384615384615</v>
      </c>
      <c r="C16" s="1">
        <v>22</v>
      </c>
      <c r="D16" s="9">
        <v>26</v>
      </c>
    </row>
    <row r="17" spans="1:4" x14ac:dyDescent="0.25">
      <c r="A17" s="1" t="s">
        <v>10</v>
      </c>
      <c r="B17" s="7">
        <v>0</v>
      </c>
      <c r="C17" s="1">
        <v>0</v>
      </c>
      <c r="D17" s="9">
        <v>4</v>
      </c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4" tint="0.59999389629810485"/>
  </sheetPr>
  <dimension ref="A1:G177"/>
  <sheetViews>
    <sheetView topLeftCell="A129" workbookViewId="0">
      <selection activeCell="A162" sqref="A162:A177"/>
    </sheetView>
  </sheetViews>
  <sheetFormatPr defaultRowHeight="15" x14ac:dyDescent="0.25"/>
  <cols>
    <col min="1" max="1" width="9.140625" style="13"/>
    <col min="2" max="2" width="10" style="15" customWidth="1"/>
    <col min="3" max="3" width="9.140625" style="6"/>
    <col min="4" max="4" width="11.140625" style="15" customWidth="1"/>
    <col min="5" max="5" width="10.42578125" style="6" customWidth="1"/>
    <col min="6" max="6" width="12.42578125" style="13" customWidth="1"/>
    <col min="7" max="7" width="13.140625" style="13" customWidth="1"/>
  </cols>
  <sheetData>
    <row r="1" spans="1:7" s="12" customFormat="1" ht="30" x14ac:dyDescent="0.25">
      <c r="A1" s="13"/>
      <c r="B1" s="16" t="s">
        <v>165</v>
      </c>
      <c r="C1" s="17" t="s">
        <v>175</v>
      </c>
      <c r="D1" s="18" t="s">
        <v>166</v>
      </c>
      <c r="E1" s="17" t="s">
        <v>169</v>
      </c>
      <c r="F1" s="17" t="s">
        <v>167</v>
      </c>
      <c r="G1" s="17" t="s">
        <v>168</v>
      </c>
    </row>
    <row r="2" spans="1:7" s="6" customFormat="1" x14ac:dyDescent="0.25">
      <c r="A2" s="13" t="s">
        <v>3</v>
      </c>
      <c r="B2" s="15">
        <v>44911</v>
      </c>
      <c r="C2" s="6">
        <v>0.58974358974358976</v>
      </c>
      <c r="D2" s="15">
        <v>44837</v>
      </c>
      <c r="F2" s="13">
        <v>0</v>
      </c>
      <c r="G2" s="13">
        <v>0</v>
      </c>
    </row>
    <row r="3" spans="1:7" s="6" customFormat="1" x14ac:dyDescent="0.25">
      <c r="A3" s="13" t="s">
        <v>18</v>
      </c>
      <c r="B3" s="15">
        <v>44911</v>
      </c>
      <c r="C3" s="6">
        <v>0.33333333333333331</v>
      </c>
      <c r="D3" s="15">
        <v>44837</v>
      </c>
      <c r="F3" s="13">
        <v>0</v>
      </c>
      <c r="G3" s="13">
        <v>0</v>
      </c>
    </row>
    <row r="4" spans="1:7" s="6" customFormat="1" x14ac:dyDescent="0.25">
      <c r="A4" s="13" t="s">
        <v>16</v>
      </c>
      <c r="B4" s="15">
        <v>44911</v>
      </c>
      <c r="C4" s="6">
        <v>0.42424242424242425</v>
      </c>
      <c r="D4" s="15">
        <v>44837</v>
      </c>
      <c r="F4" s="13">
        <v>0</v>
      </c>
      <c r="G4" s="13">
        <v>0</v>
      </c>
    </row>
    <row r="5" spans="1:7" s="6" customFormat="1" x14ac:dyDescent="0.25">
      <c r="A5" s="13" t="s">
        <v>22</v>
      </c>
      <c r="B5" s="15">
        <v>44911</v>
      </c>
      <c r="C5" s="6">
        <v>0.47058823529411764</v>
      </c>
      <c r="D5" s="15">
        <v>44837</v>
      </c>
      <c r="F5" s="13">
        <v>0</v>
      </c>
      <c r="G5" s="13">
        <v>0</v>
      </c>
    </row>
    <row r="6" spans="1:7" s="6" customFormat="1" x14ac:dyDescent="0.25">
      <c r="A6" s="13" t="s">
        <v>4</v>
      </c>
      <c r="B6" s="15">
        <v>44911</v>
      </c>
      <c r="C6" s="6">
        <v>0.60465116279069764</v>
      </c>
      <c r="D6" s="15">
        <v>44837</v>
      </c>
      <c r="F6" s="13">
        <v>0</v>
      </c>
      <c r="G6" s="13">
        <v>0</v>
      </c>
    </row>
    <row r="7" spans="1:7" s="6" customFormat="1" x14ac:dyDescent="0.25">
      <c r="A7" s="13" t="s">
        <v>6</v>
      </c>
      <c r="B7" s="15">
        <v>44911</v>
      </c>
      <c r="C7" s="6">
        <v>0.55555555555555558</v>
      </c>
      <c r="D7" s="15">
        <v>44837</v>
      </c>
      <c r="F7" s="13">
        <v>0</v>
      </c>
      <c r="G7" s="13">
        <v>0</v>
      </c>
    </row>
    <row r="8" spans="1:7" s="6" customFormat="1" x14ac:dyDescent="0.25">
      <c r="A8" s="13" t="s">
        <v>5</v>
      </c>
      <c r="B8" s="15">
        <v>44911</v>
      </c>
      <c r="C8" s="6">
        <v>0.53488372093023251</v>
      </c>
      <c r="D8" s="15">
        <v>44837</v>
      </c>
      <c r="F8" s="13">
        <v>0</v>
      </c>
      <c r="G8" s="13">
        <v>0</v>
      </c>
    </row>
    <row r="9" spans="1:7" s="6" customFormat="1" x14ac:dyDescent="0.25">
      <c r="A9" s="13" t="s">
        <v>8</v>
      </c>
      <c r="B9" s="15">
        <v>44911</v>
      </c>
      <c r="C9" s="6">
        <v>0.44827586206896552</v>
      </c>
      <c r="D9" s="15">
        <v>44837</v>
      </c>
      <c r="F9" s="13">
        <v>0</v>
      </c>
      <c r="G9" s="13">
        <v>0</v>
      </c>
    </row>
    <row r="10" spans="1:7" s="6" customFormat="1" x14ac:dyDescent="0.25">
      <c r="A10" s="13" t="s">
        <v>12</v>
      </c>
      <c r="B10" s="15">
        <v>44911</v>
      </c>
      <c r="C10" s="6">
        <v>0.48837209302325579</v>
      </c>
      <c r="D10" s="15">
        <v>44837</v>
      </c>
      <c r="F10" s="13">
        <v>0</v>
      </c>
      <c r="G10" s="13">
        <v>0</v>
      </c>
    </row>
    <row r="11" spans="1:7" s="6" customFormat="1" x14ac:dyDescent="0.25">
      <c r="A11" s="13" t="s">
        <v>23</v>
      </c>
      <c r="B11" s="15">
        <v>44911</v>
      </c>
      <c r="C11" s="6">
        <v>0.4</v>
      </c>
      <c r="D11" s="15">
        <v>44837</v>
      </c>
      <c r="F11" s="13">
        <v>0</v>
      </c>
      <c r="G11" s="13">
        <v>0</v>
      </c>
    </row>
    <row r="12" spans="1:7" s="6" customFormat="1" x14ac:dyDescent="0.25">
      <c r="A12" s="13" t="s">
        <v>11</v>
      </c>
      <c r="B12" s="15">
        <v>44911</v>
      </c>
      <c r="C12" s="6">
        <v>0.5</v>
      </c>
      <c r="D12" s="15">
        <v>44837</v>
      </c>
      <c r="F12" s="13">
        <v>0</v>
      </c>
      <c r="G12" s="13">
        <v>0</v>
      </c>
    </row>
    <row r="13" spans="1:7" s="6" customFormat="1" x14ac:dyDescent="0.25">
      <c r="A13" s="13" t="s">
        <v>9</v>
      </c>
      <c r="B13" s="15">
        <v>44911</v>
      </c>
      <c r="C13" s="6">
        <v>0.36363636363636365</v>
      </c>
      <c r="D13" s="15">
        <v>44837</v>
      </c>
      <c r="F13" s="13">
        <v>0</v>
      </c>
      <c r="G13" s="13">
        <v>0</v>
      </c>
    </row>
    <row r="14" spans="1:7" s="6" customFormat="1" x14ac:dyDescent="0.25">
      <c r="A14" s="13" t="s">
        <v>24</v>
      </c>
      <c r="B14" s="15">
        <v>44911</v>
      </c>
      <c r="C14" s="6">
        <v>0.36842105263157893</v>
      </c>
      <c r="D14" s="15">
        <v>44837</v>
      </c>
      <c r="F14" s="13">
        <v>0</v>
      </c>
      <c r="G14" s="13">
        <v>0</v>
      </c>
    </row>
    <row r="15" spans="1:7" s="6" customFormat="1" x14ac:dyDescent="0.25">
      <c r="A15" s="13" t="s">
        <v>26</v>
      </c>
      <c r="B15" s="15">
        <v>44911</v>
      </c>
      <c r="C15" s="6">
        <v>0.42857142857142855</v>
      </c>
      <c r="D15" s="15">
        <v>44837</v>
      </c>
      <c r="F15" s="13">
        <v>0</v>
      </c>
      <c r="G15" s="13">
        <v>0</v>
      </c>
    </row>
    <row r="16" spans="1:7" s="6" customFormat="1" x14ac:dyDescent="0.25">
      <c r="A16" s="13" t="s">
        <v>7</v>
      </c>
      <c r="B16" s="15">
        <v>44911</v>
      </c>
      <c r="C16" s="6">
        <v>0.7857142857142857</v>
      </c>
      <c r="D16" s="15">
        <v>44837</v>
      </c>
      <c r="F16" s="13">
        <v>0</v>
      </c>
      <c r="G16" s="13">
        <v>0</v>
      </c>
    </row>
    <row r="17" spans="1:7" s="6" customFormat="1" x14ac:dyDescent="0.25">
      <c r="A17" s="13" t="s">
        <v>10</v>
      </c>
      <c r="B17" s="15">
        <v>44911</v>
      </c>
      <c r="C17" s="6">
        <v>0</v>
      </c>
      <c r="D17" s="15">
        <v>44837</v>
      </c>
      <c r="F17" s="13">
        <v>0</v>
      </c>
      <c r="G17" s="13">
        <v>0</v>
      </c>
    </row>
    <row r="18" spans="1:7" x14ac:dyDescent="0.25">
      <c r="A18" s="13" t="s">
        <v>3</v>
      </c>
      <c r="B18" s="15">
        <v>44911</v>
      </c>
      <c r="C18" s="6">
        <v>0.58974358974358976</v>
      </c>
      <c r="D18" s="15">
        <v>44844</v>
      </c>
      <c r="F18" s="13">
        <v>0</v>
      </c>
      <c r="G18" s="13">
        <v>0</v>
      </c>
    </row>
    <row r="19" spans="1:7" x14ac:dyDescent="0.25">
      <c r="A19" s="13" t="s">
        <v>18</v>
      </c>
      <c r="B19" s="15">
        <v>44911</v>
      </c>
      <c r="C19" s="6">
        <v>0.33333333333333331</v>
      </c>
      <c r="D19" s="15">
        <v>44844</v>
      </c>
      <c r="F19" s="13">
        <v>0</v>
      </c>
      <c r="G19" s="13">
        <v>0</v>
      </c>
    </row>
    <row r="20" spans="1:7" x14ac:dyDescent="0.25">
      <c r="A20" s="13" t="s">
        <v>16</v>
      </c>
      <c r="B20" s="15">
        <v>44911</v>
      </c>
      <c r="C20" s="6">
        <v>0.42424242424242425</v>
      </c>
      <c r="D20" s="15">
        <v>44844</v>
      </c>
      <c r="E20" s="6">
        <v>0</v>
      </c>
      <c r="F20" s="13">
        <v>0</v>
      </c>
      <c r="G20" s="13">
        <v>2</v>
      </c>
    </row>
    <row r="21" spans="1:7" x14ac:dyDescent="0.25">
      <c r="A21" s="13" t="s">
        <v>22</v>
      </c>
      <c r="B21" s="15">
        <v>44911</v>
      </c>
      <c r="C21" s="6">
        <v>0.47058823529411764</v>
      </c>
      <c r="D21" s="15">
        <v>44844</v>
      </c>
      <c r="E21" s="6">
        <v>0.5</v>
      </c>
      <c r="F21" s="13">
        <v>1</v>
      </c>
      <c r="G21" s="13">
        <v>2</v>
      </c>
    </row>
    <row r="22" spans="1:7" x14ac:dyDescent="0.25">
      <c r="A22" s="13" t="s">
        <v>4</v>
      </c>
      <c r="B22" s="15">
        <v>44911</v>
      </c>
      <c r="C22" s="6">
        <v>0.60465116279069764</v>
      </c>
      <c r="D22" s="15">
        <v>44844</v>
      </c>
      <c r="E22" s="6">
        <v>0.5</v>
      </c>
      <c r="F22" s="13">
        <v>1</v>
      </c>
      <c r="G22" s="13">
        <v>2</v>
      </c>
    </row>
    <row r="23" spans="1:7" x14ac:dyDescent="0.25">
      <c r="A23" s="13" t="s">
        <v>6</v>
      </c>
      <c r="B23" s="15">
        <v>44911</v>
      </c>
      <c r="C23" s="6">
        <v>0.55555555555555558</v>
      </c>
      <c r="D23" s="15">
        <v>44844</v>
      </c>
      <c r="E23" s="6">
        <v>0</v>
      </c>
      <c r="F23" s="13">
        <v>0</v>
      </c>
      <c r="G23" s="13">
        <v>2</v>
      </c>
    </row>
    <row r="24" spans="1:7" x14ac:dyDescent="0.25">
      <c r="A24" s="13" t="s">
        <v>5</v>
      </c>
      <c r="B24" s="15">
        <v>44911</v>
      </c>
      <c r="C24" s="6">
        <v>0.53488372093023251</v>
      </c>
      <c r="D24" s="15">
        <v>44844</v>
      </c>
      <c r="E24" s="6">
        <v>0.5</v>
      </c>
      <c r="F24" s="13">
        <v>1</v>
      </c>
      <c r="G24" s="13">
        <v>2</v>
      </c>
    </row>
    <row r="25" spans="1:7" x14ac:dyDescent="0.25">
      <c r="A25" s="13" t="s">
        <v>8</v>
      </c>
      <c r="B25" s="15">
        <v>44911</v>
      </c>
      <c r="C25" s="6">
        <v>0.44827586206896552</v>
      </c>
      <c r="D25" s="15">
        <v>44844</v>
      </c>
      <c r="F25" s="13">
        <v>0</v>
      </c>
      <c r="G25" s="13">
        <v>0</v>
      </c>
    </row>
    <row r="26" spans="1:7" x14ac:dyDescent="0.25">
      <c r="A26" s="13" t="s">
        <v>12</v>
      </c>
      <c r="B26" s="15">
        <v>44911</v>
      </c>
      <c r="C26" s="6">
        <v>0.48837209302325579</v>
      </c>
      <c r="D26" s="15">
        <v>44844</v>
      </c>
      <c r="E26" s="6">
        <v>1</v>
      </c>
      <c r="F26" s="13">
        <v>2</v>
      </c>
      <c r="G26" s="13">
        <v>2</v>
      </c>
    </row>
    <row r="27" spans="1:7" x14ac:dyDescent="0.25">
      <c r="A27" s="13" t="s">
        <v>23</v>
      </c>
      <c r="B27" s="15">
        <v>44911</v>
      </c>
      <c r="C27" s="6">
        <v>0.4</v>
      </c>
      <c r="D27" s="15">
        <v>44844</v>
      </c>
      <c r="E27" s="6">
        <v>0.5</v>
      </c>
      <c r="F27" s="13">
        <v>1</v>
      </c>
      <c r="G27" s="13">
        <v>2</v>
      </c>
    </row>
    <row r="28" spans="1:7" x14ac:dyDescent="0.25">
      <c r="A28" s="13" t="s">
        <v>11</v>
      </c>
      <c r="B28" s="15">
        <v>44911</v>
      </c>
      <c r="C28" s="6">
        <v>0.5</v>
      </c>
      <c r="D28" s="15">
        <v>44844</v>
      </c>
      <c r="E28" s="6">
        <v>0.5</v>
      </c>
      <c r="F28" s="13">
        <v>1</v>
      </c>
      <c r="G28" s="13">
        <v>2</v>
      </c>
    </row>
    <row r="29" spans="1:7" x14ac:dyDescent="0.25">
      <c r="A29" s="13" t="s">
        <v>9</v>
      </c>
      <c r="B29" s="15">
        <v>44911</v>
      </c>
      <c r="C29" s="6">
        <v>0.36363636363636365</v>
      </c>
      <c r="D29" s="15">
        <v>44844</v>
      </c>
      <c r="E29" s="6">
        <v>0.5</v>
      </c>
      <c r="F29" s="13">
        <v>1</v>
      </c>
      <c r="G29" s="13">
        <v>2</v>
      </c>
    </row>
    <row r="30" spans="1:7" x14ac:dyDescent="0.25">
      <c r="A30" s="13" t="s">
        <v>24</v>
      </c>
      <c r="B30" s="15">
        <v>44911</v>
      </c>
      <c r="C30" s="6">
        <v>0.36842105263157893</v>
      </c>
      <c r="D30" s="15">
        <v>44844</v>
      </c>
      <c r="F30" s="13">
        <v>0</v>
      </c>
      <c r="G30" s="13">
        <v>0</v>
      </c>
    </row>
    <row r="31" spans="1:7" x14ac:dyDescent="0.25">
      <c r="A31" s="13" t="s">
        <v>26</v>
      </c>
      <c r="B31" s="15">
        <v>44911</v>
      </c>
      <c r="C31" s="6">
        <v>0.42857142857142855</v>
      </c>
      <c r="D31" s="15">
        <v>44844</v>
      </c>
      <c r="F31" s="13">
        <v>0</v>
      </c>
      <c r="G31" s="13">
        <v>0</v>
      </c>
    </row>
    <row r="32" spans="1:7" x14ac:dyDescent="0.25">
      <c r="A32" s="13" t="s">
        <v>7</v>
      </c>
      <c r="B32" s="15">
        <v>44911</v>
      </c>
      <c r="C32" s="6">
        <v>0.7857142857142857</v>
      </c>
      <c r="D32" s="15">
        <v>44844</v>
      </c>
      <c r="E32" s="6">
        <v>1</v>
      </c>
      <c r="F32" s="13">
        <v>2</v>
      </c>
      <c r="G32" s="13">
        <v>2</v>
      </c>
    </row>
    <row r="33" spans="1:7" x14ac:dyDescent="0.25">
      <c r="A33" s="13" t="s">
        <v>10</v>
      </c>
      <c r="B33" s="15">
        <v>44911</v>
      </c>
      <c r="C33" s="6">
        <v>0</v>
      </c>
      <c r="D33" s="15">
        <v>44844</v>
      </c>
      <c r="F33" s="13">
        <v>0</v>
      </c>
      <c r="G33" s="13">
        <v>0</v>
      </c>
    </row>
    <row r="34" spans="1:7" x14ac:dyDescent="0.25">
      <c r="A34" s="13" t="s">
        <v>3</v>
      </c>
      <c r="B34" s="15">
        <v>44911</v>
      </c>
      <c r="C34" s="6">
        <v>0.58974358974358976</v>
      </c>
      <c r="D34" s="15">
        <v>44851</v>
      </c>
      <c r="E34" s="6">
        <v>0.42857142857142855</v>
      </c>
      <c r="F34" s="13">
        <v>3</v>
      </c>
      <c r="G34" s="13">
        <v>7</v>
      </c>
    </row>
    <row r="35" spans="1:7" x14ac:dyDescent="0.25">
      <c r="A35" s="13" t="s">
        <v>18</v>
      </c>
      <c r="B35" s="15">
        <v>44911</v>
      </c>
      <c r="C35" s="6">
        <v>0.33333333333333331</v>
      </c>
      <c r="D35" s="15">
        <v>44851</v>
      </c>
      <c r="F35" s="13">
        <v>0</v>
      </c>
      <c r="G35" s="13">
        <v>0</v>
      </c>
    </row>
    <row r="36" spans="1:7" x14ac:dyDescent="0.25">
      <c r="A36" s="13" t="s">
        <v>16</v>
      </c>
      <c r="B36" s="15">
        <v>44911</v>
      </c>
      <c r="C36" s="6">
        <v>0.42424242424242425</v>
      </c>
      <c r="D36" s="15">
        <v>44851</v>
      </c>
      <c r="E36" s="6">
        <v>0.25</v>
      </c>
      <c r="F36" s="13">
        <v>2</v>
      </c>
      <c r="G36" s="13">
        <v>8</v>
      </c>
    </row>
    <row r="37" spans="1:7" x14ac:dyDescent="0.25">
      <c r="A37" s="13" t="s">
        <v>22</v>
      </c>
      <c r="B37" s="15">
        <v>44911</v>
      </c>
      <c r="C37" s="6">
        <v>0.47058823529411764</v>
      </c>
      <c r="D37" s="15">
        <v>44851</v>
      </c>
      <c r="E37" s="6">
        <v>0.6</v>
      </c>
      <c r="F37" s="13">
        <v>6</v>
      </c>
      <c r="G37" s="13">
        <v>10</v>
      </c>
    </row>
    <row r="38" spans="1:7" x14ac:dyDescent="0.25">
      <c r="A38" s="13" t="s">
        <v>4</v>
      </c>
      <c r="B38" s="15">
        <v>44911</v>
      </c>
      <c r="C38" s="6">
        <v>0.60465116279069764</v>
      </c>
      <c r="D38" s="15">
        <v>44851</v>
      </c>
      <c r="E38" s="6">
        <v>0.77777777777777779</v>
      </c>
      <c r="F38" s="13">
        <v>7</v>
      </c>
      <c r="G38" s="13">
        <v>9</v>
      </c>
    </row>
    <row r="39" spans="1:7" x14ac:dyDescent="0.25">
      <c r="A39" s="13" t="s">
        <v>6</v>
      </c>
      <c r="B39" s="15">
        <v>44911</v>
      </c>
      <c r="C39" s="6">
        <v>0.55555555555555558</v>
      </c>
      <c r="D39" s="15">
        <v>44851</v>
      </c>
      <c r="E39" s="6">
        <v>0.4</v>
      </c>
      <c r="F39" s="13">
        <v>4</v>
      </c>
      <c r="G39" s="13">
        <v>10</v>
      </c>
    </row>
    <row r="40" spans="1:7" x14ac:dyDescent="0.25">
      <c r="A40" s="13" t="s">
        <v>5</v>
      </c>
      <c r="B40" s="15">
        <v>44911</v>
      </c>
      <c r="C40" s="6">
        <v>0.53488372093023251</v>
      </c>
      <c r="D40" s="15">
        <v>44851</v>
      </c>
      <c r="E40" s="6">
        <v>0.375</v>
      </c>
      <c r="F40" s="13">
        <v>3</v>
      </c>
      <c r="G40" s="13">
        <v>8</v>
      </c>
    </row>
    <row r="41" spans="1:7" x14ac:dyDescent="0.25">
      <c r="A41" s="13" t="s">
        <v>8</v>
      </c>
      <c r="B41" s="15">
        <v>44911</v>
      </c>
      <c r="C41" s="6">
        <v>0.44827586206896552</v>
      </c>
      <c r="D41" s="15">
        <v>44851</v>
      </c>
      <c r="E41" s="6">
        <v>0.4</v>
      </c>
      <c r="F41" s="13">
        <v>2</v>
      </c>
      <c r="G41" s="13">
        <v>5</v>
      </c>
    </row>
    <row r="42" spans="1:7" x14ac:dyDescent="0.25">
      <c r="A42" s="13" t="s">
        <v>12</v>
      </c>
      <c r="B42" s="15">
        <v>44911</v>
      </c>
      <c r="C42" s="6">
        <v>0.48837209302325579</v>
      </c>
      <c r="D42" s="15">
        <v>44851</v>
      </c>
      <c r="E42" s="6">
        <v>0.6</v>
      </c>
      <c r="F42" s="13">
        <v>6</v>
      </c>
      <c r="G42" s="13">
        <v>10</v>
      </c>
    </row>
    <row r="43" spans="1:7" x14ac:dyDescent="0.25">
      <c r="A43" s="13" t="s">
        <v>23</v>
      </c>
      <c r="B43" s="15">
        <v>44911</v>
      </c>
      <c r="C43" s="6">
        <v>0.4</v>
      </c>
      <c r="D43" s="15">
        <v>44851</v>
      </c>
      <c r="E43" s="6">
        <v>0.5</v>
      </c>
      <c r="F43" s="13">
        <v>1</v>
      </c>
      <c r="G43" s="13">
        <v>2</v>
      </c>
    </row>
    <row r="44" spans="1:7" x14ac:dyDescent="0.25">
      <c r="A44" s="13" t="s">
        <v>11</v>
      </c>
      <c r="B44" s="15">
        <v>44911</v>
      </c>
      <c r="C44" s="6">
        <v>0.5</v>
      </c>
      <c r="D44" s="15">
        <v>44851</v>
      </c>
      <c r="E44" s="6">
        <v>0.5</v>
      </c>
      <c r="F44" s="13">
        <v>2</v>
      </c>
      <c r="G44" s="13">
        <v>4</v>
      </c>
    </row>
    <row r="45" spans="1:7" x14ac:dyDescent="0.25">
      <c r="A45" s="13" t="s">
        <v>9</v>
      </c>
      <c r="B45" s="15">
        <v>44911</v>
      </c>
      <c r="C45" s="6">
        <v>0.36363636363636365</v>
      </c>
      <c r="D45" s="15">
        <v>44851</v>
      </c>
      <c r="E45" s="6">
        <v>0.6</v>
      </c>
      <c r="F45" s="13">
        <v>3</v>
      </c>
      <c r="G45" s="13">
        <v>5</v>
      </c>
    </row>
    <row r="46" spans="1:7" x14ac:dyDescent="0.25">
      <c r="A46" s="13" t="s">
        <v>24</v>
      </c>
      <c r="B46" s="15">
        <v>44911</v>
      </c>
      <c r="C46" s="6">
        <v>0.36842105263157893</v>
      </c>
      <c r="D46" s="15">
        <v>44851</v>
      </c>
      <c r="E46" s="6">
        <v>0.33333333333333331</v>
      </c>
      <c r="F46" s="13">
        <v>2</v>
      </c>
      <c r="G46" s="13">
        <v>6</v>
      </c>
    </row>
    <row r="47" spans="1:7" x14ac:dyDescent="0.25">
      <c r="A47" s="13" t="s">
        <v>26</v>
      </c>
      <c r="B47" s="15">
        <v>44911</v>
      </c>
      <c r="C47" s="6">
        <v>0.42857142857142855</v>
      </c>
      <c r="D47" s="15">
        <v>44851</v>
      </c>
      <c r="E47" s="6">
        <v>0.33333333333333331</v>
      </c>
      <c r="F47" s="13">
        <v>1</v>
      </c>
      <c r="G47" s="13">
        <v>3</v>
      </c>
    </row>
    <row r="48" spans="1:7" x14ac:dyDescent="0.25">
      <c r="A48" s="13" t="s">
        <v>7</v>
      </c>
      <c r="B48" s="15">
        <v>44911</v>
      </c>
      <c r="C48" s="6">
        <v>0.7857142857142857</v>
      </c>
      <c r="D48" s="15">
        <v>44851</v>
      </c>
      <c r="E48" s="6">
        <v>0.8571428571428571</v>
      </c>
      <c r="F48" s="13">
        <v>6</v>
      </c>
      <c r="G48" s="13">
        <v>7</v>
      </c>
    </row>
    <row r="49" spans="1:7" x14ac:dyDescent="0.25">
      <c r="A49" s="13" t="s">
        <v>10</v>
      </c>
      <c r="B49" s="15">
        <v>44911</v>
      </c>
      <c r="C49" s="6">
        <v>0</v>
      </c>
      <c r="D49" s="15">
        <v>44851</v>
      </c>
      <c r="F49" s="13">
        <v>0</v>
      </c>
      <c r="G49" s="13">
        <v>0</v>
      </c>
    </row>
    <row r="50" spans="1:7" x14ac:dyDescent="0.25">
      <c r="A50" s="13" t="s">
        <v>3</v>
      </c>
      <c r="B50" s="15">
        <v>44911</v>
      </c>
      <c r="C50" s="6">
        <v>0.58974358974358976</v>
      </c>
      <c r="D50" s="15">
        <v>44858</v>
      </c>
      <c r="E50" s="6">
        <v>0.42857142857142855</v>
      </c>
      <c r="F50" s="13">
        <v>3</v>
      </c>
      <c r="G50" s="13">
        <v>7</v>
      </c>
    </row>
    <row r="51" spans="1:7" x14ac:dyDescent="0.25">
      <c r="A51" s="13" t="s">
        <v>18</v>
      </c>
      <c r="B51" s="15">
        <v>44911</v>
      </c>
      <c r="C51" s="6">
        <v>0.33333333333333331</v>
      </c>
      <c r="D51" s="15">
        <v>44858</v>
      </c>
      <c r="F51" s="13">
        <v>0</v>
      </c>
      <c r="G51" s="13">
        <v>0</v>
      </c>
    </row>
    <row r="52" spans="1:7" x14ac:dyDescent="0.25">
      <c r="A52" s="13" t="s">
        <v>16</v>
      </c>
      <c r="B52" s="15">
        <v>44911</v>
      </c>
      <c r="C52" s="6">
        <v>0.42424242424242425</v>
      </c>
      <c r="D52" s="15">
        <v>44858</v>
      </c>
      <c r="E52" s="6">
        <v>0.25</v>
      </c>
      <c r="F52" s="13">
        <v>2</v>
      </c>
      <c r="G52" s="13">
        <v>8</v>
      </c>
    </row>
    <row r="53" spans="1:7" x14ac:dyDescent="0.25">
      <c r="A53" s="13" t="s">
        <v>22</v>
      </c>
      <c r="B53" s="15">
        <v>44911</v>
      </c>
      <c r="C53" s="6">
        <v>0.47058823529411764</v>
      </c>
      <c r="D53" s="15">
        <v>44858</v>
      </c>
      <c r="E53" s="6">
        <v>0.6</v>
      </c>
      <c r="F53" s="13">
        <v>6</v>
      </c>
      <c r="G53" s="13">
        <v>10</v>
      </c>
    </row>
    <row r="54" spans="1:7" x14ac:dyDescent="0.25">
      <c r="A54" s="13" t="s">
        <v>4</v>
      </c>
      <c r="B54" s="15">
        <v>44911</v>
      </c>
      <c r="C54" s="6">
        <v>0.60465116279069764</v>
      </c>
      <c r="D54" s="15">
        <v>44858</v>
      </c>
      <c r="E54" s="6">
        <v>0.77777777777777779</v>
      </c>
      <c r="F54" s="13">
        <v>7</v>
      </c>
      <c r="G54" s="13">
        <v>9</v>
      </c>
    </row>
    <row r="55" spans="1:7" x14ac:dyDescent="0.25">
      <c r="A55" s="13" t="s">
        <v>6</v>
      </c>
      <c r="B55" s="15">
        <v>44911</v>
      </c>
      <c r="C55" s="6">
        <v>0.55555555555555558</v>
      </c>
      <c r="D55" s="15">
        <v>44858</v>
      </c>
      <c r="E55" s="6">
        <v>0.4</v>
      </c>
      <c r="F55" s="13">
        <v>4</v>
      </c>
      <c r="G55" s="13">
        <v>10</v>
      </c>
    </row>
    <row r="56" spans="1:7" x14ac:dyDescent="0.25">
      <c r="A56" s="13" t="s">
        <v>5</v>
      </c>
      <c r="B56" s="15">
        <v>44911</v>
      </c>
      <c r="C56" s="6">
        <v>0.53488372093023251</v>
      </c>
      <c r="D56" s="15">
        <v>44858</v>
      </c>
      <c r="E56" s="6">
        <v>0.375</v>
      </c>
      <c r="F56" s="13">
        <v>3</v>
      </c>
      <c r="G56" s="13">
        <v>8</v>
      </c>
    </row>
    <row r="57" spans="1:7" x14ac:dyDescent="0.25">
      <c r="A57" s="13" t="s">
        <v>8</v>
      </c>
      <c r="B57" s="15">
        <v>44911</v>
      </c>
      <c r="C57" s="6">
        <v>0.44827586206896552</v>
      </c>
      <c r="D57" s="15">
        <v>44858</v>
      </c>
      <c r="E57" s="6">
        <v>0.4</v>
      </c>
      <c r="F57" s="13">
        <v>2</v>
      </c>
      <c r="G57" s="13">
        <v>5</v>
      </c>
    </row>
    <row r="58" spans="1:7" x14ac:dyDescent="0.25">
      <c r="A58" s="13" t="s">
        <v>12</v>
      </c>
      <c r="B58" s="15">
        <v>44911</v>
      </c>
      <c r="C58" s="6">
        <v>0.48837209302325579</v>
      </c>
      <c r="D58" s="15">
        <v>44858</v>
      </c>
      <c r="E58" s="6">
        <v>0.6</v>
      </c>
      <c r="F58" s="13">
        <v>6</v>
      </c>
      <c r="G58" s="13">
        <v>10</v>
      </c>
    </row>
    <row r="59" spans="1:7" x14ac:dyDescent="0.25">
      <c r="A59" s="13" t="s">
        <v>23</v>
      </c>
      <c r="B59" s="15">
        <v>44911</v>
      </c>
      <c r="C59" s="6">
        <v>0.4</v>
      </c>
      <c r="D59" s="15">
        <v>44858</v>
      </c>
      <c r="E59" s="6">
        <v>0.5</v>
      </c>
      <c r="F59" s="13">
        <v>1</v>
      </c>
      <c r="G59" s="13">
        <v>2</v>
      </c>
    </row>
    <row r="60" spans="1:7" x14ac:dyDescent="0.25">
      <c r="A60" s="13" t="s">
        <v>11</v>
      </c>
      <c r="B60" s="15">
        <v>44911</v>
      </c>
      <c r="C60" s="6">
        <v>0.5</v>
      </c>
      <c r="D60" s="15">
        <v>44858</v>
      </c>
      <c r="E60" s="6">
        <v>0.5</v>
      </c>
      <c r="F60" s="13">
        <v>2</v>
      </c>
      <c r="G60" s="13">
        <v>4</v>
      </c>
    </row>
    <row r="61" spans="1:7" x14ac:dyDescent="0.25">
      <c r="A61" s="13" t="s">
        <v>9</v>
      </c>
      <c r="B61" s="15">
        <v>44911</v>
      </c>
      <c r="C61" s="6">
        <v>0.36363636363636365</v>
      </c>
      <c r="D61" s="15">
        <v>44858</v>
      </c>
      <c r="E61" s="6">
        <v>0.6</v>
      </c>
      <c r="F61" s="13">
        <v>3</v>
      </c>
      <c r="G61" s="13">
        <v>5</v>
      </c>
    </row>
    <row r="62" spans="1:7" x14ac:dyDescent="0.25">
      <c r="A62" s="13" t="s">
        <v>24</v>
      </c>
      <c r="B62" s="15">
        <v>44911</v>
      </c>
      <c r="C62" s="6">
        <v>0.36842105263157893</v>
      </c>
      <c r="D62" s="15">
        <v>44858</v>
      </c>
      <c r="E62" s="6">
        <v>0.33333333333333331</v>
      </c>
      <c r="F62" s="13">
        <v>2</v>
      </c>
      <c r="G62" s="13">
        <v>6</v>
      </c>
    </row>
    <row r="63" spans="1:7" x14ac:dyDescent="0.25">
      <c r="A63" s="13" t="s">
        <v>26</v>
      </c>
      <c r="B63" s="15">
        <v>44911</v>
      </c>
      <c r="C63" s="6">
        <v>0.42857142857142855</v>
      </c>
      <c r="D63" s="15">
        <v>44858</v>
      </c>
      <c r="E63" s="6">
        <v>0.33333333333333331</v>
      </c>
      <c r="F63" s="13">
        <v>1</v>
      </c>
      <c r="G63" s="13">
        <v>3</v>
      </c>
    </row>
    <row r="64" spans="1:7" x14ac:dyDescent="0.25">
      <c r="A64" s="13" t="s">
        <v>7</v>
      </c>
      <c r="B64" s="15">
        <v>44911</v>
      </c>
      <c r="C64" s="6">
        <v>0.7857142857142857</v>
      </c>
      <c r="D64" s="15">
        <v>44858</v>
      </c>
      <c r="E64" s="6">
        <v>0.8571428571428571</v>
      </c>
      <c r="F64" s="13">
        <v>6</v>
      </c>
      <c r="G64" s="13">
        <v>7</v>
      </c>
    </row>
    <row r="65" spans="1:7" x14ac:dyDescent="0.25">
      <c r="A65" s="13" t="s">
        <v>10</v>
      </c>
      <c r="B65" s="15">
        <v>44911</v>
      </c>
      <c r="C65" s="6">
        <v>0</v>
      </c>
      <c r="D65" s="15">
        <v>44858</v>
      </c>
      <c r="F65" s="13">
        <v>0</v>
      </c>
      <c r="G65" s="13">
        <v>0</v>
      </c>
    </row>
    <row r="66" spans="1:7" x14ac:dyDescent="0.25">
      <c r="A66" s="13" t="s">
        <v>3</v>
      </c>
      <c r="B66" s="15">
        <v>44911</v>
      </c>
      <c r="C66" s="6">
        <v>0.58974358974358976</v>
      </c>
      <c r="D66" s="15">
        <v>44865</v>
      </c>
      <c r="E66" s="6">
        <v>0.375</v>
      </c>
      <c r="F66" s="13">
        <v>3</v>
      </c>
      <c r="G66" s="13">
        <v>8</v>
      </c>
    </row>
    <row r="67" spans="1:7" x14ac:dyDescent="0.25">
      <c r="A67" s="13" t="s">
        <v>18</v>
      </c>
      <c r="B67" s="15">
        <v>44911</v>
      </c>
      <c r="C67" s="6">
        <v>0.33333333333333331</v>
      </c>
      <c r="D67" s="15">
        <v>44865</v>
      </c>
      <c r="F67" s="13">
        <v>0</v>
      </c>
      <c r="G67" s="13">
        <v>0</v>
      </c>
    </row>
    <row r="68" spans="1:7" x14ac:dyDescent="0.25">
      <c r="A68" s="13" t="s">
        <v>16</v>
      </c>
      <c r="B68" s="15">
        <v>44911</v>
      </c>
      <c r="C68" s="6">
        <v>0.42424242424242425</v>
      </c>
      <c r="D68" s="15">
        <v>44865</v>
      </c>
      <c r="E68" s="6">
        <v>0.33333333333333331</v>
      </c>
      <c r="F68" s="13">
        <v>3</v>
      </c>
      <c r="G68" s="13">
        <v>9</v>
      </c>
    </row>
    <row r="69" spans="1:7" x14ac:dyDescent="0.25">
      <c r="A69" s="13" t="s">
        <v>22</v>
      </c>
      <c r="B69" s="15">
        <v>44911</v>
      </c>
      <c r="C69" s="6">
        <v>0.47058823529411764</v>
      </c>
      <c r="D69" s="15">
        <v>44865</v>
      </c>
      <c r="E69" s="6">
        <v>0.54545454545454541</v>
      </c>
      <c r="F69" s="13">
        <v>6</v>
      </c>
      <c r="G69" s="13">
        <v>11</v>
      </c>
    </row>
    <row r="70" spans="1:7" x14ac:dyDescent="0.25">
      <c r="A70" s="13" t="s">
        <v>4</v>
      </c>
      <c r="B70" s="15">
        <v>44911</v>
      </c>
      <c r="C70" s="6">
        <v>0.60465116279069764</v>
      </c>
      <c r="D70" s="15">
        <v>44865</v>
      </c>
      <c r="E70" s="6">
        <v>0.8</v>
      </c>
      <c r="F70" s="13">
        <v>8</v>
      </c>
      <c r="G70" s="13">
        <v>10</v>
      </c>
    </row>
    <row r="71" spans="1:7" x14ac:dyDescent="0.25">
      <c r="A71" s="13" t="s">
        <v>6</v>
      </c>
      <c r="B71" s="15">
        <v>44911</v>
      </c>
      <c r="C71" s="6">
        <v>0.55555555555555558</v>
      </c>
      <c r="D71" s="15">
        <v>44865</v>
      </c>
      <c r="E71" s="6">
        <v>0.36363636363636365</v>
      </c>
      <c r="F71" s="13">
        <v>4</v>
      </c>
      <c r="G71" s="13">
        <v>11</v>
      </c>
    </row>
    <row r="72" spans="1:7" x14ac:dyDescent="0.25">
      <c r="A72" s="13" t="s">
        <v>5</v>
      </c>
      <c r="B72" s="15">
        <v>44911</v>
      </c>
      <c r="C72" s="6">
        <v>0.53488372093023251</v>
      </c>
      <c r="D72" s="15">
        <v>44865</v>
      </c>
      <c r="E72" s="6">
        <v>0.44444444444444442</v>
      </c>
      <c r="F72" s="13">
        <v>4</v>
      </c>
      <c r="G72" s="13">
        <v>9</v>
      </c>
    </row>
    <row r="73" spans="1:7" x14ac:dyDescent="0.25">
      <c r="A73" s="13" t="s">
        <v>8</v>
      </c>
      <c r="B73" s="15">
        <v>44911</v>
      </c>
      <c r="C73" s="6">
        <v>0.44827586206896552</v>
      </c>
      <c r="D73" s="15">
        <v>44865</v>
      </c>
      <c r="E73" s="6">
        <v>0.4</v>
      </c>
      <c r="F73" s="13">
        <v>2</v>
      </c>
      <c r="G73" s="13">
        <v>5</v>
      </c>
    </row>
    <row r="74" spans="1:7" x14ac:dyDescent="0.25">
      <c r="A74" s="13" t="s">
        <v>12</v>
      </c>
      <c r="B74" s="15">
        <v>44911</v>
      </c>
      <c r="C74" s="6">
        <v>0.48837209302325579</v>
      </c>
      <c r="D74" s="15">
        <v>44865</v>
      </c>
      <c r="E74" s="6">
        <v>0.54545454545454541</v>
      </c>
      <c r="F74" s="13">
        <v>6</v>
      </c>
      <c r="G74" s="13">
        <v>11</v>
      </c>
    </row>
    <row r="75" spans="1:7" x14ac:dyDescent="0.25">
      <c r="A75" s="13" t="s">
        <v>23</v>
      </c>
      <c r="B75" s="15">
        <v>44911</v>
      </c>
      <c r="C75" s="6">
        <v>0.4</v>
      </c>
      <c r="D75" s="15">
        <v>44865</v>
      </c>
      <c r="E75" s="6">
        <v>0.5</v>
      </c>
      <c r="F75" s="13">
        <v>1</v>
      </c>
      <c r="G75" s="13">
        <v>2</v>
      </c>
    </row>
    <row r="76" spans="1:7" x14ac:dyDescent="0.25">
      <c r="A76" s="13" t="s">
        <v>11</v>
      </c>
      <c r="B76" s="15">
        <v>44911</v>
      </c>
      <c r="C76" s="6">
        <v>0.5</v>
      </c>
      <c r="D76" s="15">
        <v>44865</v>
      </c>
      <c r="E76" s="6">
        <v>0.5</v>
      </c>
      <c r="F76" s="13">
        <v>2</v>
      </c>
      <c r="G76" s="13">
        <v>4</v>
      </c>
    </row>
    <row r="77" spans="1:7" x14ac:dyDescent="0.25">
      <c r="A77" s="13" t="s">
        <v>9</v>
      </c>
      <c r="B77" s="15">
        <v>44911</v>
      </c>
      <c r="C77" s="6">
        <v>0.36363636363636365</v>
      </c>
      <c r="D77" s="15">
        <v>44865</v>
      </c>
      <c r="E77" s="6">
        <v>0.66666666666666663</v>
      </c>
      <c r="F77" s="13">
        <v>4</v>
      </c>
      <c r="G77" s="13">
        <v>6</v>
      </c>
    </row>
    <row r="78" spans="1:7" x14ac:dyDescent="0.25">
      <c r="A78" s="13" t="s">
        <v>24</v>
      </c>
      <c r="B78" s="15">
        <v>44911</v>
      </c>
      <c r="C78" s="6">
        <v>0.36842105263157893</v>
      </c>
      <c r="D78" s="15">
        <v>44865</v>
      </c>
      <c r="E78" s="6">
        <v>0.2857142857142857</v>
      </c>
      <c r="F78" s="13">
        <v>2</v>
      </c>
      <c r="G78" s="13">
        <v>7</v>
      </c>
    </row>
    <row r="79" spans="1:7" x14ac:dyDescent="0.25">
      <c r="A79" s="13" t="s">
        <v>26</v>
      </c>
      <c r="B79" s="15">
        <v>44911</v>
      </c>
      <c r="C79" s="6">
        <v>0.42857142857142855</v>
      </c>
      <c r="D79" s="15">
        <v>44865</v>
      </c>
      <c r="E79" s="6">
        <v>0.33333333333333331</v>
      </c>
      <c r="F79" s="13">
        <v>1</v>
      </c>
      <c r="G79" s="13">
        <v>3</v>
      </c>
    </row>
    <row r="80" spans="1:7" x14ac:dyDescent="0.25">
      <c r="A80" s="13" t="s">
        <v>7</v>
      </c>
      <c r="B80" s="15">
        <v>44911</v>
      </c>
      <c r="C80" s="6">
        <v>0.7857142857142857</v>
      </c>
      <c r="D80" s="15">
        <v>44865</v>
      </c>
      <c r="E80" s="6">
        <v>0.875</v>
      </c>
      <c r="F80" s="13">
        <v>7</v>
      </c>
      <c r="G80" s="13">
        <v>8</v>
      </c>
    </row>
    <row r="81" spans="1:7" x14ac:dyDescent="0.25">
      <c r="A81" s="13" t="s">
        <v>10</v>
      </c>
      <c r="B81" s="15">
        <v>44911</v>
      </c>
      <c r="C81" s="6">
        <v>0</v>
      </c>
      <c r="D81" s="15">
        <v>44865</v>
      </c>
      <c r="F81" s="13">
        <v>0</v>
      </c>
      <c r="G81" s="13">
        <v>0</v>
      </c>
    </row>
    <row r="82" spans="1:7" x14ac:dyDescent="0.25">
      <c r="A82" s="13" t="s">
        <v>3</v>
      </c>
      <c r="B82" s="15">
        <v>44911</v>
      </c>
      <c r="C82" s="6">
        <v>0.58974358974358976</v>
      </c>
      <c r="D82" s="15">
        <v>44872</v>
      </c>
      <c r="E82" s="6">
        <v>0.38461538461538464</v>
      </c>
      <c r="F82" s="13">
        <v>5</v>
      </c>
      <c r="G82" s="13">
        <v>13</v>
      </c>
    </row>
    <row r="83" spans="1:7" x14ac:dyDescent="0.25">
      <c r="A83" s="13" t="s">
        <v>18</v>
      </c>
      <c r="B83" s="15">
        <v>44911</v>
      </c>
      <c r="C83" s="6">
        <v>0.33333333333333331</v>
      </c>
      <c r="D83" s="15">
        <v>44872</v>
      </c>
      <c r="F83" s="13">
        <v>0</v>
      </c>
      <c r="G83" s="13">
        <v>0</v>
      </c>
    </row>
    <row r="84" spans="1:7" x14ac:dyDescent="0.25">
      <c r="A84" s="13" t="s">
        <v>16</v>
      </c>
      <c r="B84" s="15">
        <v>44911</v>
      </c>
      <c r="C84" s="6">
        <v>0.42424242424242425</v>
      </c>
      <c r="D84" s="15">
        <v>44872</v>
      </c>
      <c r="E84" s="6">
        <v>0.30769230769230771</v>
      </c>
      <c r="F84" s="13">
        <v>4</v>
      </c>
      <c r="G84" s="13">
        <v>13</v>
      </c>
    </row>
    <row r="85" spans="1:7" x14ac:dyDescent="0.25">
      <c r="A85" s="13" t="s">
        <v>22</v>
      </c>
      <c r="B85" s="15">
        <v>44911</v>
      </c>
      <c r="C85" s="6">
        <v>0.47058823529411764</v>
      </c>
      <c r="D85" s="15">
        <v>44872</v>
      </c>
      <c r="E85" s="6">
        <v>0.66666666666666663</v>
      </c>
      <c r="F85" s="13">
        <v>10</v>
      </c>
      <c r="G85" s="13">
        <v>15</v>
      </c>
    </row>
    <row r="86" spans="1:7" x14ac:dyDescent="0.25">
      <c r="A86" s="13" t="s">
        <v>4</v>
      </c>
      <c r="B86" s="15">
        <v>44911</v>
      </c>
      <c r="C86" s="6">
        <v>0.60465116279069764</v>
      </c>
      <c r="D86" s="15">
        <v>44872</v>
      </c>
      <c r="E86" s="6">
        <v>0.7857142857142857</v>
      </c>
      <c r="F86" s="13">
        <v>11</v>
      </c>
      <c r="G86" s="13">
        <v>14</v>
      </c>
    </row>
    <row r="87" spans="1:7" x14ac:dyDescent="0.25">
      <c r="A87" s="13" t="s">
        <v>6</v>
      </c>
      <c r="B87" s="15">
        <v>44911</v>
      </c>
      <c r="C87" s="6">
        <v>0.55555555555555558</v>
      </c>
      <c r="D87" s="15">
        <v>44872</v>
      </c>
      <c r="E87" s="6">
        <v>0.38461538461538464</v>
      </c>
      <c r="F87" s="13">
        <v>5</v>
      </c>
      <c r="G87" s="13">
        <v>13</v>
      </c>
    </row>
    <row r="88" spans="1:7" x14ac:dyDescent="0.25">
      <c r="A88" s="13" t="s">
        <v>5</v>
      </c>
      <c r="B88" s="15">
        <v>44911</v>
      </c>
      <c r="C88" s="6">
        <v>0.53488372093023251</v>
      </c>
      <c r="D88" s="15">
        <v>44872</v>
      </c>
      <c r="E88" s="6">
        <v>0.42857142857142855</v>
      </c>
      <c r="F88" s="13">
        <v>6</v>
      </c>
      <c r="G88" s="13">
        <v>14</v>
      </c>
    </row>
    <row r="89" spans="1:7" x14ac:dyDescent="0.25">
      <c r="A89" s="13" t="s">
        <v>8</v>
      </c>
      <c r="B89" s="15">
        <v>44911</v>
      </c>
      <c r="C89" s="6">
        <v>0.44827586206896552</v>
      </c>
      <c r="D89" s="15">
        <v>44872</v>
      </c>
      <c r="E89" s="6">
        <v>0.5</v>
      </c>
      <c r="F89" s="13">
        <v>5</v>
      </c>
      <c r="G89" s="13">
        <v>10</v>
      </c>
    </row>
    <row r="90" spans="1:7" x14ac:dyDescent="0.25">
      <c r="A90" s="13" t="s">
        <v>12</v>
      </c>
      <c r="B90" s="15">
        <v>44911</v>
      </c>
      <c r="C90" s="6">
        <v>0.48837209302325579</v>
      </c>
      <c r="D90" s="15">
        <v>44872</v>
      </c>
      <c r="E90" s="6">
        <v>0.5</v>
      </c>
      <c r="F90" s="13">
        <v>8</v>
      </c>
      <c r="G90" s="13">
        <v>16</v>
      </c>
    </row>
    <row r="91" spans="1:7" x14ac:dyDescent="0.25">
      <c r="A91" s="13" t="s">
        <v>23</v>
      </c>
      <c r="B91" s="15">
        <v>44911</v>
      </c>
      <c r="C91" s="6">
        <v>0.4</v>
      </c>
      <c r="D91" s="15">
        <v>44872</v>
      </c>
      <c r="E91" s="6">
        <v>0.66666666666666663</v>
      </c>
      <c r="F91" s="13">
        <v>2</v>
      </c>
      <c r="G91" s="13">
        <v>3</v>
      </c>
    </row>
    <row r="92" spans="1:7" x14ac:dyDescent="0.25">
      <c r="A92" s="13" t="s">
        <v>11</v>
      </c>
      <c r="B92" s="15">
        <v>44911</v>
      </c>
      <c r="C92" s="6">
        <v>0.5</v>
      </c>
      <c r="D92" s="15">
        <v>44872</v>
      </c>
      <c r="E92" s="6">
        <v>0.5</v>
      </c>
      <c r="F92" s="13">
        <v>3</v>
      </c>
      <c r="G92" s="13">
        <v>6</v>
      </c>
    </row>
    <row r="93" spans="1:7" x14ac:dyDescent="0.25">
      <c r="A93" s="13" t="s">
        <v>9</v>
      </c>
      <c r="B93" s="15">
        <v>44911</v>
      </c>
      <c r="C93" s="6">
        <v>0.36363636363636365</v>
      </c>
      <c r="D93" s="15">
        <v>44872</v>
      </c>
      <c r="E93" s="6">
        <v>0.66666666666666663</v>
      </c>
      <c r="F93" s="13">
        <v>4</v>
      </c>
      <c r="G93" s="13">
        <v>6</v>
      </c>
    </row>
    <row r="94" spans="1:7" x14ac:dyDescent="0.25">
      <c r="A94" s="13" t="s">
        <v>24</v>
      </c>
      <c r="B94" s="15">
        <v>44911</v>
      </c>
      <c r="C94" s="6">
        <v>0.36842105263157893</v>
      </c>
      <c r="D94" s="15">
        <v>44872</v>
      </c>
      <c r="E94" s="6">
        <v>0.41666666666666669</v>
      </c>
      <c r="F94" s="13">
        <v>5</v>
      </c>
      <c r="G94" s="13">
        <v>12</v>
      </c>
    </row>
    <row r="95" spans="1:7" x14ac:dyDescent="0.25">
      <c r="A95" s="13" t="s">
        <v>26</v>
      </c>
      <c r="B95" s="15">
        <v>44911</v>
      </c>
      <c r="C95" s="6">
        <v>0.42857142857142855</v>
      </c>
      <c r="D95" s="15">
        <v>44872</v>
      </c>
      <c r="E95" s="6">
        <v>0.33333333333333331</v>
      </c>
      <c r="F95" s="13">
        <v>2</v>
      </c>
      <c r="G95" s="13">
        <v>6</v>
      </c>
    </row>
    <row r="96" spans="1:7" x14ac:dyDescent="0.25">
      <c r="A96" s="13" t="s">
        <v>7</v>
      </c>
      <c r="B96" s="15">
        <v>44911</v>
      </c>
      <c r="C96" s="6">
        <v>0.7857142857142857</v>
      </c>
      <c r="D96" s="15">
        <v>44872</v>
      </c>
      <c r="E96" s="6">
        <v>0.875</v>
      </c>
      <c r="F96" s="13">
        <v>7</v>
      </c>
      <c r="G96" s="13">
        <v>8</v>
      </c>
    </row>
    <row r="97" spans="1:7" x14ac:dyDescent="0.25">
      <c r="A97" s="13" t="s">
        <v>10</v>
      </c>
      <c r="B97" s="15">
        <v>44911</v>
      </c>
      <c r="C97" s="6">
        <v>0</v>
      </c>
      <c r="D97" s="15">
        <v>44872</v>
      </c>
      <c r="F97" s="13">
        <v>0</v>
      </c>
      <c r="G97" s="13">
        <v>0</v>
      </c>
    </row>
    <row r="98" spans="1:7" x14ac:dyDescent="0.25">
      <c r="A98" s="13" t="s">
        <v>3</v>
      </c>
      <c r="B98" s="15">
        <v>44911</v>
      </c>
      <c r="C98" s="6">
        <v>0.58974358974358976</v>
      </c>
      <c r="D98" s="15">
        <v>44879</v>
      </c>
      <c r="E98" s="6">
        <v>0.52631578947368418</v>
      </c>
      <c r="F98" s="13">
        <v>10</v>
      </c>
      <c r="G98" s="13">
        <v>19</v>
      </c>
    </row>
    <row r="99" spans="1:7" x14ac:dyDescent="0.25">
      <c r="A99" s="13" t="s">
        <v>18</v>
      </c>
      <c r="B99" s="15">
        <v>44911</v>
      </c>
      <c r="C99" s="6">
        <v>0.33333333333333331</v>
      </c>
      <c r="D99" s="15">
        <v>44879</v>
      </c>
      <c r="E99" s="6">
        <v>0</v>
      </c>
      <c r="F99" s="13">
        <v>0</v>
      </c>
      <c r="G99" s="13">
        <v>1</v>
      </c>
    </row>
    <row r="100" spans="1:7" x14ac:dyDescent="0.25">
      <c r="A100" s="13" t="s">
        <v>16</v>
      </c>
      <c r="B100" s="15">
        <v>44911</v>
      </c>
      <c r="C100" s="6">
        <v>0.42424242424242425</v>
      </c>
      <c r="D100" s="15">
        <v>44879</v>
      </c>
      <c r="E100" s="6">
        <v>0.2857142857142857</v>
      </c>
      <c r="F100" s="13">
        <v>6</v>
      </c>
      <c r="G100" s="13">
        <v>21</v>
      </c>
    </row>
    <row r="101" spans="1:7" x14ac:dyDescent="0.25">
      <c r="A101" s="13" t="s">
        <v>22</v>
      </c>
      <c r="B101" s="15">
        <v>44911</v>
      </c>
      <c r="C101" s="6">
        <v>0.47058823529411764</v>
      </c>
      <c r="D101" s="15">
        <v>44879</v>
      </c>
      <c r="E101" s="6">
        <v>0.58333333333333337</v>
      </c>
      <c r="F101" s="13">
        <v>14</v>
      </c>
      <c r="G101" s="13">
        <v>24</v>
      </c>
    </row>
    <row r="102" spans="1:7" x14ac:dyDescent="0.25">
      <c r="A102" s="13" t="s">
        <v>4</v>
      </c>
      <c r="B102" s="15">
        <v>44911</v>
      </c>
      <c r="C102" s="6">
        <v>0.60465116279069764</v>
      </c>
      <c r="D102" s="15">
        <v>44879</v>
      </c>
      <c r="E102" s="6">
        <v>0.73913043478260865</v>
      </c>
      <c r="F102" s="13">
        <v>17</v>
      </c>
      <c r="G102" s="13">
        <v>23</v>
      </c>
    </row>
    <row r="103" spans="1:7" x14ac:dyDescent="0.25">
      <c r="A103" s="13" t="s">
        <v>6</v>
      </c>
      <c r="B103" s="15">
        <v>44911</v>
      </c>
      <c r="C103" s="6">
        <v>0.55555555555555558</v>
      </c>
      <c r="D103" s="15">
        <v>44879</v>
      </c>
      <c r="E103" s="6">
        <v>0.45454545454545453</v>
      </c>
      <c r="F103" s="13">
        <v>10</v>
      </c>
      <c r="G103" s="13">
        <v>22</v>
      </c>
    </row>
    <row r="104" spans="1:7" x14ac:dyDescent="0.25">
      <c r="A104" s="13" t="s">
        <v>5</v>
      </c>
      <c r="B104" s="15">
        <v>44911</v>
      </c>
      <c r="C104" s="6">
        <v>0.53488372093023251</v>
      </c>
      <c r="D104" s="15">
        <v>44879</v>
      </c>
      <c r="E104" s="6">
        <v>0.52173913043478259</v>
      </c>
      <c r="F104" s="13">
        <v>12</v>
      </c>
      <c r="G104" s="13">
        <v>23</v>
      </c>
    </row>
    <row r="105" spans="1:7" x14ac:dyDescent="0.25">
      <c r="A105" s="13" t="s">
        <v>8</v>
      </c>
      <c r="B105" s="15">
        <v>44911</v>
      </c>
      <c r="C105" s="6">
        <v>0.44827586206896552</v>
      </c>
      <c r="D105" s="15">
        <v>44879</v>
      </c>
      <c r="E105" s="6">
        <v>0.4375</v>
      </c>
      <c r="F105" s="13">
        <v>7</v>
      </c>
      <c r="G105" s="13">
        <v>16</v>
      </c>
    </row>
    <row r="106" spans="1:7" x14ac:dyDescent="0.25">
      <c r="A106" s="13" t="s">
        <v>12</v>
      </c>
      <c r="B106" s="15">
        <v>44911</v>
      </c>
      <c r="C106" s="6">
        <v>0.48837209302325579</v>
      </c>
      <c r="D106" s="15">
        <v>44879</v>
      </c>
      <c r="E106" s="6">
        <v>0.56000000000000005</v>
      </c>
      <c r="F106" s="13">
        <v>14</v>
      </c>
      <c r="G106" s="13">
        <v>25</v>
      </c>
    </row>
    <row r="107" spans="1:7" x14ac:dyDescent="0.25">
      <c r="A107" s="13" t="s">
        <v>23</v>
      </c>
      <c r="B107" s="15">
        <v>44911</v>
      </c>
      <c r="C107" s="6">
        <v>0.4</v>
      </c>
      <c r="D107" s="15">
        <v>44879</v>
      </c>
      <c r="E107" s="6">
        <v>0.44444444444444442</v>
      </c>
      <c r="F107" s="13">
        <v>4</v>
      </c>
      <c r="G107" s="13">
        <v>9</v>
      </c>
    </row>
    <row r="108" spans="1:7" x14ac:dyDescent="0.25">
      <c r="A108" s="13" t="s">
        <v>11</v>
      </c>
      <c r="B108" s="15">
        <v>44911</v>
      </c>
      <c r="C108" s="6">
        <v>0.5</v>
      </c>
      <c r="D108" s="15">
        <v>44879</v>
      </c>
      <c r="E108" s="6">
        <v>0.4</v>
      </c>
      <c r="F108" s="13">
        <v>4</v>
      </c>
      <c r="G108" s="13">
        <v>10</v>
      </c>
    </row>
    <row r="109" spans="1:7" x14ac:dyDescent="0.25">
      <c r="A109" s="13" t="s">
        <v>9</v>
      </c>
      <c r="B109" s="15">
        <v>44911</v>
      </c>
      <c r="C109" s="6">
        <v>0.36363636363636365</v>
      </c>
      <c r="D109" s="15">
        <v>44879</v>
      </c>
      <c r="E109" s="6">
        <v>0.54545454545454541</v>
      </c>
      <c r="F109" s="13">
        <v>6</v>
      </c>
      <c r="G109" s="13">
        <v>11</v>
      </c>
    </row>
    <row r="110" spans="1:7" x14ac:dyDescent="0.25">
      <c r="A110" s="13" t="s">
        <v>24</v>
      </c>
      <c r="B110" s="15">
        <v>44911</v>
      </c>
      <c r="C110" s="6">
        <v>0.36842105263157893</v>
      </c>
      <c r="D110" s="15">
        <v>44879</v>
      </c>
      <c r="E110" s="6">
        <v>0.33333333333333331</v>
      </c>
      <c r="F110" s="13">
        <v>5</v>
      </c>
      <c r="G110" s="13">
        <v>15</v>
      </c>
    </row>
    <row r="111" spans="1:7" x14ac:dyDescent="0.25">
      <c r="A111" s="13" t="s">
        <v>26</v>
      </c>
      <c r="B111" s="15">
        <v>44911</v>
      </c>
      <c r="C111" s="6">
        <v>0.42857142857142855</v>
      </c>
      <c r="D111" s="15">
        <v>44879</v>
      </c>
      <c r="E111" s="6">
        <v>0.33333333333333331</v>
      </c>
      <c r="F111" s="13">
        <v>2</v>
      </c>
      <c r="G111" s="13">
        <v>6</v>
      </c>
    </row>
    <row r="112" spans="1:7" x14ac:dyDescent="0.25">
      <c r="A112" s="13" t="s">
        <v>7</v>
      </c>
      <c r="B112" s="15">
        <v>44911</v>
      </c>
      <c r="C112" s="6">
        <v>0.7857142857142857</v>
      </c>
      <c r="D112" s="15">
        <v>44879</v>
      </c>
      <c r="E112" s="6">
        <v>0.7857142857142857</v>
      </c>
      <c r="F112" s="13">
        <v>11</v>
      </c>
      <c r="G112" s="13">
        <v>14</v>
      </c>
    </row>
    <row r="113" spans="1:7" x14ac:dyDescent="0.25">
      <c r="A113" s="13" t="s">
        <v>10</v>
      </c>
      <c r="B113" s="15">
        <v>44911</v>
      </c>
      <c r="C113" s="6">
        <v>0</v>
      </c>
      <c r="D113" s="15">
        <v>44879</v>
      </c>
      <c r="F113" s="13">
        <v>0</v>
      </c>
      <c r="G113" s="13">
        <v>0</v>
      </c>
    </row>
    <row r="114" spans="1:7" x14ac:dyDescent="0.25">
      <c r="A114" s="13" t="s">
        <v>3</v>
      </c>
      <c r="B114" s="15">
        <v>44911</v>
      </c>
      <c r="C114" s="6">
        <v>0.58974358974358976</v>
      </c>
      <c r="D114" s="15">
        <v>44886</v>
      </c>
      <c r="E114" s="6">
        <v>0.56521739130434778</v>
      </c>
      <c r="F114" s="13">
        <v>13</v>
      </c>
      <c r="G114" s="13">
        <v>23</v>
      </c>
    </row>
    <row r="115" spans="1:7" x14ac:dyDescent="0.25">
      <c r="A115" s="13" t="s">
        <v>18</v>
      </c>
      <c r="B115" s="15">
        <v>44911</v>
      </c>
      <c r="C115" s="6">
        <v>0.33333333333333331</v>
      </c>
      <c r="D115" s="15">
        <v>44886</v>
      </c>
      <c r="E115" s="6">
        <v>0</v>
      </c>
      <c r="F115" s="13">
        <v>0</v>
      </c>
      <c r="G115" s="13">
        <v>1</v>
      </c>
    </row>
    <row r="116" spans="1:7" x14ac:dyDescent="0.25">
      <c r="A116" s="13" t="s">
        <v>16</v>
      </c>
      <c r="B116" s="15">
        <v>44911</v>
      </c>
      <c r="C116" s="6">
        <v>0.42424242424242425</v>
      </c>
      <c r="D116" s="15">
        <v>44886</v>
      </c>
      <c r="E116" s="6">
        <v>0.33333333333333331</v>
      </c>
      <c r="F116" s="13">
        <v>8</v>
      </c>
      <c r="G116" s="13">
        <v>24</v>
      </c>
    </row>
    <row r="117" spans="1:7" x14ac:dyDescent="0.25">
      <c r="A117" s="13" t="s">
        <v>22</v>
      </c>
      <c r="B117" s="15">
        <v>44911</v>
      </c>
      <c r="C117" s="6">
        <v>0.47058823529411764</v>
      </c>
      <c r="D117" s="15">
        <v>44886</v>
      </c>
      <c r="E117" s="6">
        <v>0.58333333333333337</v>
      </c>
      <c r="F117" s="13">
        <v>14</v>
      </c>
      <c r="G117" s="13">
        <v>24</v>
      </c>
    </row>
    <row r="118" spans="1:7" x14ac:dyDescent="0.25">
      <c r="A118" s="13" t="s">
        <v>4</v>
      </c>
      <c r="B118" s="15">
        <v>44911</v>
      </c>
      <c r="C118" s="6">
        <v>0.60465116279069764</v>
      </c>
      <c r="D118" s="15">
        <v>44886</v>
      </c>
      <c r="E118" s="6">
        <v>0.62962962962962965</v>
      </c>
      <c r="F118" s="13">
        <v>17</v>
      </c>
      <c r="G118" s="13">
        <v>27</v>
      </c>
    </row>
    <row r="119" spans="1:7" x14ac:dyDescent="0.25">
      <c r="A119" s="13" t="s">
        <v>6</v>
      </c>
      <c r="B119" s="15">
        <v>44911</v>
      </c>
      <c r="C119" s="6">
        <v>0.55555555555555558</v>
      </c>
      <c r="D119" s="15">
        <v>44886</v>
      </c>
      <c r="E119" s="6">
        <v>0.44</v>
      </c>
      <c r="F119" s="13">
        <v>11</v>
      </c>
      <c r="G119" s="13">
        <v>25</v>
      </c>
    </row>
    <row r="120" spans="1:7" x14ac:dyDescent="0.25">
      <c r="A120" s="13" t="s">
        <v>5</v>
      </c>
      <c r="B120" s="15">
        <v>44911</v>
      </c>
      <c r="C120" s="6">
        <v>0.53488372093023251</v>
      </c>
      <c r="D120" s="15">
        <v>44886</v>
      </c>
      <c r="E120" s="6">
        <v>0.48148148148148145</v>
      </c>
      <c r="F120" s="13">
        <v>13</v>
      </c>
      <c r="G120" s="13">
        <v>27</v>
      </c>
    </row>
    <row r="121" spans="1:7" x14ac:dyDescent="0.25">
      <c r="A121" s="13" t="s">
        <v>8</v>
      </c>
      <c r="B121" s="15">
        <v>44911</v>
      </c>
      <c r="C121" s="6">
        <v>0.44827586206896552</v>
      </c>
      <c r="D121" s="15">
        <v>44886</v>
      </c>
      <c r="E121" s="6">
        <v>0.44444444444444442</v>
      </c>
      <c r="F121" s="13">
        <v>8</v>
      </c>
      <c r="G121" s="13">
        <v>18</v>
      </c>
    </row>
    <row r="122" spans="1:7" x14ac:dyDescent="0.25">
      <c r="A122" s="13" t="s">
        <v>12</v>
      </c>
      <c r="B122" s="15">
        <v>44911</v>
      </c>
      <c r="C122" s="6">
        <v>0.48837209302325579</v>
      </c>
      <c r="D122" s="15">
        <v>44886</v>
      </c>
      <c r="E122" s="6">
        <v>0.55172413793103448</v>
      </c>
      <c r="F122" s="13">
        <v>16</v>
      </c>
      <c r="G122" s="13">
        <v>29</v>
      </c>
    </row>
    <row r="123" spans="1:7" x14ac:dyDescent="0.25">
      <c r="A123" s="13" t="s">
        <v>23</v>
      </c>
      <c r="B123" s="15">
        <v>44911</v>
      </c>
      <c r="C123" s="6">
        <v>0.4</v>
      </c>
      <c r="D123" s="15">
        <v>44886</v>
      </c>
      <c r="E123" s="6">
        <v>0.46153846153846156</v>
      </c>
      <c r="F123" s="13">
        <v>6</v>
      </c>
      <c r="G123" s="13">
        <v>13</v>
      </c>
    </row>
    <row r="124" spans="1:7" x14ac:dyDescent="0.25">
      <c r="A124" s="13" t="s">
        <v>11</v>
      </c>
      <c r="B124" s="15">
        <v>44911</v>
      </c>
      <c r="C124" s="6">
        <v>0.5</v>
      </c>
      <c r="D124" s="15">
        <v>44886</v>
      </c>
      <c r="E124" s="6">
        <v>0.5</v>
      </c>
      <c r="F124" s="13">
        <v>6</v>
      </c>
      <c r="G124" s="13">
        <v>12</v>
      </c>
    </row>
    <row r="125" spans="1:7" x14ac:dyDescent="0.25">
      <c r="A125" s="13" t="s">
        <v>9</v>
      </c>
      <c r="B125" s="15">
        <v>44911</v>
      </c>
      <c r="C125" s="6">
        <v>0.36363636363636365</v>
      </c>
      <c r="D125" s="15">
        <v>44886</v>
      </c>
      <c r="E125" s="6">
        <v>0.42857142857142855</v>
      </c>
      <c r="F125" s="13">
        <v>6</v>
      </c>
      <c r="G125" s="13">
        <v>14</v>
      </c>
    </row>
    <row r="126" spans="1:7" x14ac:dyDescent="0.25">
      <c r="A126" s="13" t="s">
        <v>24</v>
      </c>
      <c r="B126" s="15">
        <v>44911</v>
      </c>
      <c r="C126" s="6">
        <v>0.36842105263157893</v>
      </c>
      <c r="D126" s="15">
        <v>44886</v>
      </c>
      <c r="E126" s="6">
        <v>0.35294117647058826</v>
      </c>
      <c r="F126" s="13">
        <v>6</v>
      </c>
      <c r="G126" s="13">
        <v>17</v>
      </c>
    </row>
    <row r="127" spans="1:7" x14ac:dyDescent="0.25">
      <c r="A127" s="13" t="s">
        <v>26</v>
      </c>
      <c r="B127" s="15">
        <v>44911</v>
      </c>
      <c r="C127" s="6">
        <v>0.42857142857142855</v>
      </c>
      <c r="D127" s="15">
        <v>44886</v>
      </c>
      <c r="E127" s="6">
        <v>0.42857142857142855</v>
      </c>
      <c r="F127" s="13">
        <v>3</v>
      </c>
      <c r="G127" s="13">
        <v>7</v>
      </c>
    </row>
    <row r="128" spans="1:7" x14ac:dyDescent="0.25">
      <c r="A128" s="13" t="s">
        <v>7</v>
      </c>
      <c r="B128" s="15">
        <v>44911</v>
      </c>
      <c r="C128" s="6">
        <v>0.7857142857142857</v>
      </c>
      <c r="D128" s="15">
        <v>44886</v>
      </c>
      <c r="E128" s="6">
        <v>0.82352941176470584</v>
      </c>
      <c r="F128" s="13">
        <v>14</v>
      </c>
      <c r="G128" s="13">
        <v>17</v>
      </c>
    </row>
    <row r="129" spans="1:7" x14ac:dyDescent="0.25">
      <c r="A129" s="13" t="s">
        <v>10</v>
      </c>
      <c r="B129" s="15">
        <v>44911</v>
      </c>
      <c r="C129" s="6">
        <v>0</v>
      </c>
      <c r="D129" s="15">
        <v>44886</v>
      </c>
      <c r="F129" s="13">
        <v>0</v>
      </c>
      <c r="G129" s="13">
        <v>0</v>
      </c>
    </row>
    <row r="130" spans="1:7" x14ac:dyDescent="0.25">
      <c r="A130" s="13" t="s">
        <v>3</v>
      </c>
      <c r="B130" s="15">
        <v>44911</v>
      </c>
      <c r="C130" s="6">
        <v>0.58974358974358976</v>
      </c>
      <c r="D130" s="15">
        <v>44893</v>
      </c>
      <c r="E130" s="6">
        <v>0.55172413793103448</v>
      </c>
      <c r="F130" s="13">
        <v>16</v>
      </c>
      <c r="G130" s="13">
        <v>29</v>
      </c>
    </row>
    <row r="131" spans="1:7" x14ac:dyDescent="0.25">
      <c r="A131" s="13" t="s">
        <v>18</v>
      </c>
      <c r="B131" s="15">
        <v>44911</v>
      </c>
      <c r="C131" s="6">
        <v>0.33333333333333331</v>
      </c>
      <c r="D131" s="15">
        <v>44893</v>
      </c>
      <c r="E131" s="6">
        <v>0.25</v>
      </c>
      <c r="F131" s="13">
        <v>1</v>
      </c>
      <c r="G131" s="13">
        <v>4</v>
      </c>
    </row>
    <row r="132" spans="1:7" x14ac:dyDescent="0.25">
      <c r="A132" s="13" t="s">
        <v>16</v>
      </c>
      <c r="B132" s="15">
        <v>44911</v>
      </c>
      <c r="C132" s="6">
        <v>0.42424242424242425</v>
      </c>
      <c r="D132" s="15">
        <v>44893</v>
      </c>
      <c r="E132" s="6">
        <v>0.35714285714285715</v>
      </c>
      <c r="F132" s="13">
        <v>10</v>
      </c>
      <c r="G132" s="13">
        <v>28</v>
      </c>
    </row>
    <row r="133" spans="1:7" x14ac:dyDescent="0.25">
      <c r="A133" s="13" t="s">
        <v>22</v>
      </c>
      <c r="B133" s="15">
        <v>44911</v>
      </c>
      <c r="C133" s="6">
        <v>0.47058823529411764</v>
      </c>
      <c r="D133" s="15">
        <v>44893</v>
      </c>
      <c r="E133" s="6">
        <v>0.53333333333333333</v>
      </c>
      <c r="F133" s="13">
        <v>16</v>
      </c>
      <c r="G133" s="13">
        <v>30</v>
      </c>
    </row>
    <row r="134" spans="1:7" x14ac:dyDescent="0.25">
      <c r="A134" s="13" t="s">
        <v>4</v>
      </c>
      <c r="B134" s="15">
        <v>44911</v>
      </c>
      <c r="C134" s="6">
        <v>0.60465116279069764</v>
      </c>
      <c r="D134" s="15">
        <v>44893</v>
      </c>
      <c r="E134" s="6">
        <v>0.63636363636363635</v>
      </c>
      <c r="F134" s="13">
        <v>21</v>
      </c>
      <c r="G134" s="13">
        <v>33</v>
      </c>
    </row>
    <row r="135" spans="1:7" x14ac:dyDescent="0.25">
      <c r="A135" s="13" t="s">
        <v>6</v>
      </c>
      <c r="B135" s="15">
        <v>44911</v>
      </c>
      <c r="C135" s="6">
        <v>0.55555555555555558</v>
      </c>
      <c r="D135" s="15">
        <v>44893</v>
      </c>
      <c r="E135" s="6">
        <v>0.5161290322580645</v>
      </c>
      <c r="F135" s="13">
        <v>16</v>
      </c>
      <c r="G135" s="13">
        <v>31</v>
      </c>
    </row>
    <row r="136" spans="1:7" x14ac:dyDescent="0.25">
      <c r="A136" s="13" t="s">
        <v>5</v>
      </c>
      <c r="B136" s="15">
        <v>44911</v>
      </c>
      <c r="C136" s="6">
        <v>0.53488372093023251</v>
      </c>
      <c r="D136" s="15">
        <v>44893</v>
      </c>
      <c r="E136" s="6">
        <v>0.51515151515151514</v>
      </c>
      <c r="F136" s="13">
        <v>17</v>
      </c>
      <c r="G136" s="13">
        <v>33</v>
      </c>
    </row>
    <row r="137" spans="1:7" x14ac:dyDescent="0.25">
      <c r="A137" s="13" t="s">
        <v>8</v>
      </c>
      <c r="B137" s="15">
        <v>44911</v>
      </c>
      <c r="C137" s="6">
        <v>0.44827586206896552</v>
      </c>
      <c r="D137" s="15">
        <v>44893</v>
      </c>
      <c r="E137" s="6">
        <v>0.4</v>
      </c>
      <c r="F137" s="13">
        <v>8</v>
      </c>
      <c r="G137" s="13">
        <v>20</v>
      </c>
    </row>
    <row r="138" spans="1:7" x14ac:dyDescent="0.25">
      <c r="A138" s="13" t="s">
        <v>12</v>
      </c>
      <c r="B138" s="15">
        <v>44911</v>
      </c>
      <c r="C138" s="6">
        <v>0.48837209302325579</v>
      </c>
      <c r="D138" s="15">
        <v>44893</v>
      </c>
      <c r="E138" s="6">
        <v>0.51428571428571423</v>
      </c>
      <c r="F138" s="13">
        <v>18</v>
      </c>
      <c r="G138" s="13">
        <v>35</v>
      </c>
    </row>
    <row r="139" spans="1:7" x14ac:dyDescent="0.25">
      <c r="A139" s="13" t="s">
        <v>23</v>
      </c>
      <c r="B139" s="15">
        <v>44911</v>
      </c>
      <c r="C139" s="6">
        <v>0.4</v>
      </c>
      <c r="D139" s="15">
        <v>44893</v>
      </c>
      <c r="E139" s="6">
        <v>0.42105263157894735</v>
      </c>
      <c r="F139" s="13">
        <v>8</v>
      </c>
      <c r="G139" s="13">
        <v>19</v>
      </c>
    </row>
    <row r="140" spans="1:7" x14ac:dyDescent="0.25">
      <c r="A140" s="13" t="s">
        <v>11</v>
      </c>
      <c r="B140" s="15">
        <v>44911</v>
      </c>
      <c r="C140" s="6">
        <v>0.5</v>
      </c>
      <c r="D140" s="15">
        <v>44893</v>
      </c>
      <c r="E140" s="6">
        <v>0.53333333333333333</v>
      </c>
      <c r="F140" s="13">
        <v>8</v>
      </c>
      <c r="G140" s="13">
        <v>15</v>
      </c>
    </row>
    <row r="141" spans="1:7" x14ac:dyDescent="0.25">
      <c r="A141" s="13" t="s">
        <v>9</v>
      </c>
      <c r="B141" s="15">
        <v>44911</v>
      </c>
      <c r="C141" s="6">
        <v>0.36363636363636365</v>
      </c>
      <c r="D141" s="15">
        <v>44893</v>
      </c>
      <c r="E141" s="6">
        <v>0.46666666666666667</v>
      </c>
      <c r="F141" s="13">
        <v>7</v>
      </c>
      <c r="G141" s="13">
        <v>15</v>
      </c>
    </row>
    <row r="142" spans="1:7" x14ac:dyDescent="0.25">
      <c r="A142" s="13" t="s">
        <v>24</v>
      </c>
      <c r="B142" s="15">
        <v>44911</v>
      </c>
      <c r="C142" s="6">
        <v>0.36842105263157893</v>
      </c>
      <c r="D142" s="15">
        <v>44893</v>
      </c>
      <c r="E142" s="6">
        <v>0.36842105263157893</v>
      </c>
      <c r="F142" s="13">
        <v>7</v>
      </c>
      <c r="G142" s="13">
        <v>19</v>
      </c>
    </row>
    <row r="143" spans="1:7" x14ac:dyDescent="0.25">
      <c r="A143" s="13" t="s">
        <v>26</v>
      </c>
      <c r="B143" s="15">
        <v>44911</v>
      </c>
      <c r="C143" s="6">
        <v>0.42857142857142855</v>
      </c>
      <c r="D143" s="15">
        <v>44893</v>
      </c>
      <c r="E143" s="6">
        <v>0.42857142857142855</v>
      </c>
      <c r="F143" s="13">
        <v>3</v>
      </c>
      <c r="G143" s="13">
        <v>7</v>
      </c>
    </row>
    <row r="144" spans="1:7" x14ac:dyDescent="0.25">
      <c r="A144" s="13" t="s">
        <v>7</v>
      </c>
      <c r="B144" s="15">
        <v>44911</v>
      </c>
      <c r="C144" s="6">
        <v>0.7857142857142857</v>
      </c>
      <c r="D144" s="15">
        <v>44893</v>
      </c>
      <c r="E144" s="6">
        <v>0.83333333333333337</v>
      </c>
      <c r="F144" s="13">
        <v>15</v>
      </c>
      <c r="G144" s="13">
        <v>18</v>
      </c>
    </row>
    <row r="145" spans="1:7" x14ac:dyDescent="0.25">
      <c r="A145" s="13" t="s">
        <v>10</v>
      </c>
      <c r="B145" s="15">
        <v>44911</v>
      </c>
      <c r="C145" s="6">
        <v>0</v>
      </c>
      <c r="D145" s="15">
        <v>44893</v>
      </c>
      <c r="E145" s="6">
        <v>0</v>
      </c>
      <c r="F145" s="13">
        <v>0</v>
      </c>
      <c r="G145" s="13">
        <v>2</v>
      </c>
    </row>
    <row r="146" spans="1:7" x14ac:dyDescent="0.25">
      <c r="A146" s="13" t="s">
        <v>3</v>
      </c>
      <c r="B146" s="15">
        <v>44911</v>
      </c>
      <c r="C146" s="6">
        <v>0.58974358974358976</v>
      </c>
      <c r="D146" s="15">
        <v>44900</v>
      </c>
      <c r="E146" s="6">
        <v>0.59459459459459463</v>
      </c>
      <c r="F146" s="13">
        <v>22</v>
      </c>
      <c r="G146" s="13">
        <v>37</v>
      </c>
    </row>
    <row r="147" spans="1:7" x14ac:dyDescent="0.25">
      <c r="A147" s="13" t="s">
        <v>18</v>
      </c>
      <c r="B147" s="15">
        <v>44911</v>
      </c>
      <c r="C147" s="6">
        <v>0.33333333333333331</v>
      </c>
      <c r="D147" s="15">
        <v>44900</v>
      </c>
      <c r="E147" s="6">
        <v>0.2857142857142857</v>
      </c>
      <c r="F147" s="13">
        <v>2</v>
      </c>
      <c r="G147" s="13">
        <v>7</v>
      </c>
    </row>
    <row r="148" spans="1:7" x14ac:dyDescent="0.25">
      <c r="A148" s="13" t="s">
        <v>16</v>
      </c>
      <c r="B148" s="15">
        <v>44911</v>
      </c>
      <c r="C148" s="6">
        <v>0.42424242424242425</v>
      </c>
      <c r="D148" s="15">
        <v>44900</v>
      </c>
      <c r="E148" s="6">
        <v>0.41935483870967744</v>
      </c>
      <c r="F148" s="13">
        <v>13</v>
      </c>
      <c r="G148" s="13">
        <v>31</v>
      </c>
    </row>
    <row r="149" spans="1:7" x14ac:dyDescent="0.25">
      <c r="A149" s="13" t="s">
        <v>22</v>
      </c>
      <c r="B149" s="15">
        <v>44911</v>
      </c>
      <c r="C149" s="6">
        <v>0.47058823529411764</v>
      </c>
      <c r="D149" s="15">
        <v>44900</v>
      </c>
      <c r="E149" s="6">
        <v>0.5</v>
      </c>
      <c r="F149" s="13">
        <v>16</v>
      </c>
      <c r="G149" s="13">
        <v>32</v>
      </c>
    </row>
    <row r="150" spans="1:7" x14ac:dyDescent="0.25">
      <c r="A150" s="13" t="s">
        <v>4</v>
      </c>
      <c r="B150" s="15">
        <v>44911</v>
      </c>
      <c r="C150" s="6">
        <v>0.60465116279069764</v>
      </c>
      <c r="D150" s="15">
        <v>44900</v>
      </c>
      <c r="E150" s="6">
        <v>0.58536585365853655</v>
      </c>
      <c r="F150" s="13">
        <v>24</v>
      </c>
      <c r="G150" s="13">
        <v>41</v>
      </c>
    </row>
    <row r="151" spans="1:7" x14ac:dyDescent="0.25">
      <c r="A151" s="13" t="s">
        <v>6</v>
      </c>
      <c r="B151" s="15">
        <v>44911</v>
      </c>
      <c r="C151" s="6">
        <v>0.55555555555555558</v>
      </c>
      <c r="D151" s="15">
        <v>44900</v>
      </c>
      <c r="E151" s="6">
        <v>0.55555555555555558</v>
      </c>
      <c r="F151" s="13">
        <v>20</v>
      </c>
      <c r="G151" s="13">
        <v>36</v>
      </c>
    </row>
    <row r="152" spans="1:7" x14ac:dyDescent="0.25">
      <c r="A152" s="13" t="s">
        <v>5</v>
      </c>
      <c r="B152" s="15">
        <v>44911</v>
      </c>
      <c r="C152" s="6">
        <v>0.53488372093023251</v>
      </c>
      <c r="D152" s="15">
        <v>44900</v>
      </c>
      <c r="E152" s="6">
        <v>0.51219512195121952</v>
      </c>
      <c r="F152" s="13">
        <v>21</v>
      </c>
      <c r="G152" s="13">
        <v>41</v>
      </c>
    </row>
    <row r="153" spans="1:7" x14ac:dyDescent="0.25">
      <c r="A153" s="13" t="s">
        <v>8</v>
      </c>
      <c r="B153" s="15">
        <v>44911</v>
      </c>
      <c r="C153" s="6">
        <v>0.44827586206896552</v>
      </c>
      <c r="D153" s="15">
        <v>44900</v>
      </c>
      <c r="E153" s="6">
        <v>0.40740740740740738</v>
      </c>
      <c r="F153" s="13">
        <v>11</v>
      </c>
      <c r="G153" s="13">
        <v>27</v>
      </c>
    </row>
    <row r="154" spans="1:7" x14ac:dyDescent="0.25">
      <c r="A154" s="13" t="s">
        <v>12</v>
      </c>
      <c r="B154" s="15">
        <v>44911</v>
      </c>
      <c r="C154" s="6">
        <v>0.48837209302325579</v>
      </c>
      <c r="D154" s="15">
        <v>44900</v>
      </c>
      <c r="E154" s="6">
        <v>0.51219512195121952</v>
      </c>
      <c r="F154" s="13">
        <v>21</v>
      </c>
      <c r="G154" s="13">
        <v>41</v>
      </c>
    </row>
    <row r="155" spans="1:7" x14ac:dyDescent="0.25">
      <c r="A155" s="13" t="s">
        <v>23</v>
      </c>
      <c r="B155" s="15">
        <v>44911</v>
      </c>
      <c r="C155" s="6">
        <v>0.4</v>
      </c>
      <c r="D155" s="15">
        <v>44900</v>
      </c>
      <c r="E155" s="6">
        <v>0.39130434782608697</v>
      </c>
      <c r="F155" s="13">
        <v>9</v>
      </c>
      <c r="G155" s="13">
        <v>23</v>
      </c>
    </row>
    <row r="156" spans="1:7" x14ac:dyDescent="0.25">
      <c r="A156" s="13" t="s">
        <v>11</v>
      </c>
      <c r="B156" s="15">
        <v>44911</v>
      </c>
      <c r="C156" s="6">
        <v>0.5</v>
      </c>
      <c r="D156" s="15">
        <v>44900</v>
      </c>
      <c r="E156" s="6">
        <v>0.5</v>
      </c>
      <c r="F156" s="13">
        <v>10</v>
      </c>
      <c r="G156" s="13">
        <v>20</v>
      </c>
    </row>
    <row r="157" spans="1:7" x14ac:dyDescent="0.25">
      <c r="A157" s="13" t="s">
        <v>9</v>
      </c>
      <c r="B157" s="15">
        <v>44911</v>
      </c>
      <c r="C157" s="6">
        <v>0.36363636363636365</v>
      </c>
      <c r="D157" s="15">
        <v>44900</v>
      </c>
      <c r="E157" s="6">
        <v>0.36363636363636365</v>
      </c>
      <c r="F157" s="13">
        <v>8</v>
      </c>
      <c r="G157" s="13">
        <v>22</v>
      </c>
    </row>
    <row r="158" spans="1:7" x14ac:dyDescent="0.25">
      <c r="A158" s="13" t="s">
        <v>24</v>
      </c>
      <c r="B158" s="15">
        <v>44911</v>
      </c>
      <c r="C158" s="6">
        <v>0.36842105263157893</v>
      </c>
      <c r="D158" s="15">
        <v>44900</v>
      </c>
      <c r="E158" s="6">
        <v>0.36842105263157893</v>
      </c>
      <c r="F158" s="13">
        <v>7</v>
      </c>
      <c r="G158" s="13">
        <v>19</v>
      </c>
    </row>
    <row r="159" spans="1:7" x14ac:dyDescent="0.25">
      <c r="A159" s="13" t="s">
        <v>26</v>
      </c>
      <c r="B159" s="15">
        <v>44911</v>
      </c>
      <c r="C159" s="6">
        <v>0.42857142857142855</v>
      </c>
      <c r="D159" s="15">
        <v>44900</v>
      </c>
      <c r="E159" s="6">
        <v>0.42857142857142855</v>
      </c>
      <c r="F159" s="13">
        <v>3</v>
      </c>
      <c r="G159" s="13">
        <v>7</v>
      </c>
    </row>
    <row r="160" spans="1:7" x14ac:dyDescent="0.25">
      <c r="A160" s="13" t="s">
        <v>7</v>
      </c>
      <c r="B160" s="15">
        <v>44911</v>
      </c>
      <c r="C160" s="6">
        <v>0.7857142857142857</v>
      </c>
      <c r="D160" s="15">
        <v>44900</v>
      </c>
      <c r="E160" s="6">
        <v>0.84615384615384615</v>
      </c>
      <c r="F160" s="13">
        <v>22</v>
      </c>
      <c r="G160" s="13">
        <v>26</v>
      </c>
    </row>
    <row r="161" spans="1:7" x14ac:dyDescent="0.25">
      <c r="A161" s="13" t="s">
        <v>10</v>
      </c>
      <c r="B161" s="15">
        <v>44911</v>
      </c>
      <c r="C161" s="6">
        <v>0</v>
      </c>
      <c r="D161" s="15">
        <v>44900</v>
      </c>
      <c r="E161" s="6">
        <v>0</v>
      </c>
      <c r="F161" s="13">
        <v>0</v>
      </c>
      <c r="G161" s="13">
        <v>4</v>
      </c>
    </row>
    <row r="162" spans="1:7" x14ac:dyDescent="0.25">
      <c r="A162" s="13" t="s">
        <v>3</v>
      </c>
      <c r="B162" s="15">
        <v>44911</v>
      </c>
      <c r="C162" s="6">
        <v>0.58974358974358976</v>
      </c>
      <c r="D162" s="15">
        <v>44907</v>
      </c>
      <c r="E162" s="6">
        <v>0.58974358974358976</v>
      </c>
      <c r="F162" s="13">
        <v>23</v>
      </c>
      <c r="G162" s="13">
        <v>39</v>
      </c>
    </row>
    <row r="163" spans="1:7" x14ac:dyDescent="0.25">
      <c r="A163" s="13" t="s">
        <v>18</v>
      </c>
      <c r="B163" s="15">
        <v>44911</v>
      </c>
      <c r="C163" s="6">
        <v>0.33333333333333331</v>
      </c>
      <c r="D163" s="15">
        <v>44907</v>
      </c>
      <c r="E163" s="6">
        <v>0.33333333333333331</v>
      </c>
      <c r="F163" s="13">
        <v>3</v>
      </c>
      <c r="G163" s="13">
        <v>9</v>
      </c>
    </row>
    <row r="164" spans="1:7" x14ac:dyDescent="0.25">
      <c r="A164" s="13" t="s">
        <v>16</v>
      </c>
      <c r="B164" s="15">
        <v>44911</v>
      </c>
      <c r="C164" s="6">
        <v>0.42424242424242425</v>
      </c>
      <c r="D164" s="15">
        <v>44907</v>
      </c>
      <c r="E164" s="6">
        <v>0.42424242424242425</v>
      </c>
      <c r="F164" s="13">
        <v>14</v>
      </c>
      <c r="G164" s="13">
        <v>33</v>
      </c>
    </row>
    <row r="165" spans="1:7" x14ac:dyDescent="0.25">
      <c r="A165" s="13" t="s">
        <v>22</v>
      </c>
      <c r="B165" s="15">
        <v>44911</v>
      </c>
      <c r="C165" s="6">
        <v>0.47058823529411764</v>
      </c>
      <c r="D165" s="15">
        <v>44907</v>
      </c>
      <c r="E165" s="6">
        <v>0.47058823529411764</v>
      </c>
      <c r="F165" s="13">
        <v>16</v>
      </c>
      <c r="G165" s="13">
        <v>34</v>
      </c>
    </row>
    <row r="166" spans="1:7" x14ac:dyDescent="0.25">
      <c r="A166" s="13" t="s">
        <v>4</v>
      </c>
      <c r="B166" s="15">
        <v>44911</v>
      </c>
      <c r="C166" s="6">
        <v>0.60465116279069764</v>
      </c>
      <c r="D166" s="15">
        <v>44907</v>
      </c>
      <c r="E166" s="6">
        <v>0.60465116279069764</v>
      </c>
      <c r="F166" s="13">
        <v>26</v>
      </c>
      <c r="G166" s="13">
        <v>43</v>
      </c>
    </row>
    <row r="167" spans="1:7" x14ac:dyDescent="0.25">
      <c r="A167" s="13" t="s">
        <v>6</v>
      </c>
      <c r="B167" s="15">
        <v>44911</v>
      </c>
      <c r="C167" s="6">
        <v>0.55555555555555558</v>
      </c>
      <c r="D167" s="15">
        <v>44907</v>
      </c>
      <c r="E167" s="6">
        <v>0.55555555555555558</v>
      </c>
      <c r="F167" s="13">
        <v>20</v>
      </c>
      <c r="G167" s="13">
        <v>36</v>
      </c>
    </row>
    <row r="168" spans="1:7" x14ac:dyDescent="0.25">
      <c r="A168" s="13" t="s">
        <v>5</v>
      </c>
      <c r="B168" s="15">
        <v>44911</v>
      </c>
      <c r="C168" s="6">
        <v>0.53488372093023251</v>
      </c>
      <c r="D168" s="15">
        <v>44907</v>
      </c>
      <c r="E168" s="6">
        <v>0.53488372093023251</v>
      </c>
      <c r="F168" s="13">
        <v>23</v>
      </c>
      <c r="G168" s="13">
        <v>43</v>
      </c>
    </row>
    <row r="169" spans="1:7" x14ac:dyDescent="0.25">
      <c r="A169" s="13" t="s">
        <v>8</v>
      </c>
      <c r="B169" s="15">
        <v>44911</v>
      </c>
      <c r="C169" s="6">
        <v>0.44827586206896552</v>
      </c>
      <c r="D169" s="15">
        <v>44907</v>
      </c>
      <c r="E169" s="6">
        <v>0.44827586206896552</v>
      </c>
      <c r="F169" s="13">
        <v>13</v>
      </c>
      <c r="G169" s="13">
        <v>29</v>
      </c>
    </row>
    <row r="170" spans="1:7" x14ac:dyDescent="0.25">
      <c r="A170" s="13" t="s">
        <v>12</v>
      </c>
      <c r="B170" s="15">
        <v>44911</v>
      </c>
      <c r="C170" s="6">
        <v>0.48837209302325579</v>
      </c>
      <c r="D170" s="15">
        <v>44907</v>
      </c>
      <c r="E170" s="6">
        <v>0.48837209302325579</v>
      </c>
      <c r="F170" s="13">
        <v>21</v>
      </c>
      <c r="G170" s="13">
        <v>43</v>
      </c>
    </row>
    <row r="171" spans="1:7" x14ac:dyDescent="0.25">
      <c r="A171" s="13" t="s">
        <v>23</v>
      </c>
      <c r="B171" s="15">
        <v>44911</v>
      </c>
      <c r="C171" s="6">
        <v>0.4</v>
      </c>
      <c r="D171" s="15">
        <v>44907</v>
      </c>
      <c r="E171" s="6">
        <v>0.4</v>
      </c>
      <c r="F171" s="13">
        <v>10</v>
      </c>
      <c r="G171" s="13">
        <v>25</v>
      </c>
    </row>
    <row r="172" spans="1:7" x14ac:dyDescent="0.25">
      <c r="A172" s="13" t="s">
        <v>11</v>
      </c>
      <c r="B172" s="15">
        <v>44911</v>
      </c>
      <c r="C172" s="6">
        <v>0.5</v>
      </c>
      <c r="D172" s="15">
        <v>44907</v>
      </c>
      <c r="E172" s="6">
        <v>0.5</v>
      </c>
      <c r="F172" s="13">
        <v>10</v>
      </c>
      <c r="G172" s="13">
        <v>20</v>
      </c>
    </row>
    <row r="173" spans="1:7" x14ac:dyDescent="0.25">
      <c r="A173" s="13" t="s">
        <v>9</v>
      </c>
      <c r="B173" s="15">
        <v>44911</v>
      </c>
      <c r="C173" s="6">
        <v>0.36363636363636365</v>
      </c>
      <c r="D173" s="15">
        <v>44907</v>
      </c>
      <c r="E173" s="6">
        <v>0.36363636363636365</v>
      </c>
      <c r="F173" s="13">
        <v>8</v>
      </c>
      <c r="G173" s="13">
        <v>22</v>
      </c>
    </row>
    <row r="174" spans="1:7" x14ac:dyDescent="0.25">
      <c r="A174" s="13" t="s">
        <v>24</v>
      </c>
      <c r="B174" s="15">
        <v>44911</v>
      </c>
      <c r="C174" s="6">
        <v>0.36842105263157893</v>
      </c>
      <c r="D174" s="15">
        <v>44907</v>
      </c>
      <c r="E174" s="6">
        <v>0.36842105263157893</v>
      </c>
      <c r="F174" s="13">
        <v>7</v>
      </c>
      <c r="G174" s="13">
        <v>19</v>
      </c>
    </row>
    <row r="175" spans="1:7" x14ac:dyDescent="0.25">
      <c r="A175" s="13" t="s">
        <v>26</v>
      </c>
      <c r="B175" s="15">
        <v>44911</v>
      </c>
      <c r="C175" s="6">
        <v>0.42857142857142855</v>
      </c>
      <c r="D175" s="15">
        <v>44907</v>
      </c>
      <c r="E175" s="6">
        <v>0.42857142857142855</v>
      </c>
      <c r="F175" s="13">
        <v>3</v>
      </c>
      <c r="G175" s="13">
        <v>7</v>
      </c>
    </row>
    <row r="176" spans="1:7" x14ac:dyDescent="0.25">
      <c r="A176" s="13" t="s">
        <v>7</v>
      </c>
      <c r="B176" s="15">
        <v>44911</v>
      </c>
      <c r="C176" s="6">
        <v>0.7857142857142857</v>
      </c>
      <c r="D176" s="15">
        <v>44907</v>
      </c>
      <c r="E176" s="6">
        <v>0.7857142857142857</v>
      </c>
      <c r="F176" s="13">
        <v>22</v>
      </c>
      <c r="G176" s="13">
        <v>28</v>
      </c>
    </row>
    <row r="177" spans="1:7" x14ac:dyDescent="0.25">
      <c r="A177" s="13" t="s">
        <v>10</v>
      </c>
      <c r="B177" s="15">
        <v>44911</v>
      </c>
      <c r="C177" s="6">
        <v>0</v>
      </c>
      <c r="D177" s="15">
        <v>44907</v>
      </c>
      <c r="E177" s="6">
        <v>0</v>
      </c>
      <c r="F177" s="13">
        <v>0</v>
      </c>
      <c r="G177" s="13">
        <v>4</v>
      </c>
    </row>
  </sheetData>
  <pageMargins left="0.7" right="0.7" top="0.75" bottom="0.75" header="0.3" footer="0.3"/>
  <pageSetup paperSize="256" orientation="landscape" horizontalDpi="300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theme="4" tint="0.59999389629810485"/>
  </sheetPr>
  <dimension ref="A1:F129"/>
  <sheetViews>
    <sheetView topLeftCell="A97" workbookViewId="0">
      <selection activeCell="C114" sqref="C114:C129"/>
    </sheetView>
  </sheetViews>
  <sheetFormatPr defaultRowHeight="15" x14ac:dyDescent="0.25"/>
  <cols>
    <col min="4" max="4" width="9.140625" style="6"/>
  </cols>
  <sheetData>
    <row r="1" spans="1:6" x14ac:dyDescent="0.25">
      <c r="A1" s="19" t="s">
        <v>1</v>
      </c>
      <c r="B1" s="19" t="s">
        <v>176</v>
      </c>
      <c r="C1" s="19" t="s">
        <v>27</v>
      </c>
      <c r="D1" s="20" t="s">
        <v>149</v>
      </c>
      <c r="E1" s="19" t="s">
        <v>177</v>
      </c>
      <c r="F1" s="19" t="s">
        <v>178</v>
      </c>
    </row>
    <row r="2" spans="1:6" x14ac:dyDescent="0.25">
      <c r="A2" t="s">
        <v>14</v>
      </c>
      <c r="B2">
        <v>8</v>
      </c>
      <c r="C2" s="1" t="s">
        <v>3</v>
      </c>
      <c r="D2" s="7">
        <v>0.7142857142857143</v>
      </c>
      <c r="E2">
        <v>5</v>
      </c>
      <c r="F2">
        <v>7</v>
      </c>
    </row>
    <row r="3" spans="1:6" x14ac:dyDescent="0.25">
      <c r="A3" t="s">
        <v>14</v>
      </c>
      <c r="B3">
        <v>8</v>
      </c>
      <c r="C3" s="1" t="s">
        <v>18</v>
      </c>
      <c r="D3" s="7">
        <v>1</v>
      </c>
      <c r="E3">
        <v>1</v>
      </c>
      <c r="F3">
        <v>1</v>
      </c>
    </row>
    <row r="4" spans="1:6" x14ac:dyDescent="0.25">
      <c r="A4" t="s">
        <v>14</v>
      </c>
      <c r="B4">
        <v>8</v>
      </c>
      <c r="C4" s="1" t="s">
        <v>16</v>
      </c>
      <c r="D4" s="7">
        <v>0.2</v>
      </c>
      <c r="E4">
        <v>1</v>
      </c>
      <c r="F4">
        <v>5</v>
      </c>
    </row>
    <row r="5" spans="1:6" x14ac:dyDescent="0.25">
      <c r="A5" t="s">
        <v>14</v>
      </c>
      <c r="B5">
        <v>8</v>
      </c>
      <c r="C5" s="1" t="s">
        <v>22</v>
      </c>
      <c r="D5" s="7">
        <v>0.4</v>
      </c>
      <c r="E5">
        <v>2</v>
      </c>
      <c r="F5">
        <v>5</v>
      </c>
    </row>
    <row r="6" spans="1:6" x14ac:dyDescent="0.25">
      <c r="A6" t="s">
        <v>14</v>
      </c>
      <c r="B6">
        <v>8</v>
      </c>
      <c r="C6" s="1" t="s">
        <v>4</v>
      </c>
      <c r="D6" s="7">
        <v>0.42857142857142855</v>
      </c>
      <c r="E6">
        <v>3</v>
      </c>
      <c r="F6">
        <v>7</v>
      </c>
    </row>
    <row r="7" spans="1:6" x14ac:dyDescent="0.25">
      <c r="A7" t="s">
        <v>14</v>
      </c>
      <c r="B7">
        <v>8</v>
      </c>
      <c r="C7" s="1" t="s">
        <v>6</v>
      </c>
      <c r="D7" s="7">
        <v>0.5</v>
      </c>
      <c r="E7">
        <v>3</v>
      </c>
      <c r="F7">
        <v>6</v>
      </c>
    </row>
    <row r="8" spans="1:6" x14ac:dyDescent="0.25">
      <c r="A8" t="s">
        <v>14</v>
      </c>
      <c r="B8">
        <v>8</v>
      </c>
      <c r="C8" s="1" t="s">
        <v>5</v>
      </c>
      <c r="D8" s="7">
        <v>0.25</v>
      </c>
      <c r="E8">
        <v>2</v>
      </c>
      <c r="F8">
        <v>8</v>
      </c>
    </row>
    <row r="9" spans="1:6" x14ac:dyDescent="0.25">
      <c r="A9" t="s">
        <v>14</v>
      </c>
      <c r="B9">
        <v>8</v>
      </c>
      <c r="C9" s="1" t="s">
        <v>8</v>
      </c>
      <c r="D9" s="7">
        <v>0.5</v>
      </c>
      <c r="E9">
        <v>3</v>
      </c>
      <c r="F9">
        <v>6</v>
      </c>
    </row>
    <row r="10" spans="1:6" x14ac:dyDescent="0.25">
      <c r="A10" t="s">
        <v>14</v>
      </c>
      <c r="B10">
        <v>8</v>
      </c>
      <c r="C10" s="1" t="s">
        <v>12</v>
      </c>
      <c r="D10" s="7">
        <v>0.5714285714285714</v>
      </c>
      <c r="E10">
        <v>4</v>
      </c>
      <c r="F10">
        <v>7</v>
      </c>
    </row>
    <row r="11" spans="1:6" x14ac:dyDescent="0.25">
      <c r="A11" t="s">
        <v>14</v>
      </c>
      <c r="B11">
        <v>8</v>
      </c>
      <c r="C11" s="2" t="s">
        <v>23</v>
      </c>
      <c r="D11" s="7">
        <v>0.6</v>
      </c>
      <c r="E11">
        <v>3</v>
      </c>
      <c r="F11">
        <v>5</v>
      </c>
    </row>
    <row r="12" spans="1:6" x14ac:dyDescent="0.25">
      <c r="A12" t="s">
        <v>14</v>
      </c>
      <c r="B12">
        <v>8</v>
      </c>
      <c r="C12" s="2" t="s">
        <v>11</v>
      </c>
      <c r="D12" s="7">
        <v>0.4</v>
      </c>
      <c r="E12">
        <v>2</v>
      </c>
      <c r="F12">
        <v>5</v>
      </c>
    </row>
    <row r="13" spans="1:6" x14ac:dyDescent="0.25">
      <c r="A13" t="s">
        <v>14</v>
      </c>
      <c r="B13">
        <v>8</v>
      </c>
      <c r="C13" s="1" t="s">
        <v>9</v>
      </c>
      <c r="D13" s="7">
        <v>0.25</v>
      </c>
      <c r="E13">
        <v>1</v>
      </c>
      <c r="F13">
        <v>4</v>
      </c>
    </row>
    <row r="14" spans="1:6" x14ac:dyDescent="0.25">
      <c r="A14" t="s">
        <v>14</v>
      </c>
      <c r="B14">
        <v>8</v>
      </c>
      <c r="C14" s="1" t="s">
        <v>24</v>
      </c>
      <c r="D14" s="7">
        <v>0.5</v>
      </c>
      <c r="E14">
        <v>2</v>
      </c>
      <c r="F14">
        <v>4</v>
      </c>
    </row>
    <row r="15" spans="1:6" x14ac:dyDescent="0.25">
      <c r="A15" t="s">
        <v>14</v>
      </c>
      <c r="B15">
        <v>8</v>
      </c>
      <c r="C15" s="1" t="s">
        <v>26</v>
      </c>
      <c r="D15" s="7">
        <v>1</v>
      </c>
      <c r="E15">
        <v>1</v>
      </c>
      <c r="F15">
        <v>1</v>
      </c>
    </row>
    <row r="16" spans="1:6" x14ac:dyDescent="0.25">
      <c r="A16" t="s">
        <v>14</v>
      </c>
      <c r="B16">
        <v>8</v>
      </c>
      <c r="C16" s="1" t="s">
        <v>7</v>
      </c>
      <c r="D16" s="7">
        <v>1</v>
      </c>
      <c r="E16">
        <v>5</v>
      </c>
      <c r="F16">
        <v>5</v>
      </c>
    </row>
    <row r="17" spans="1:6" x14ac:dyDescent="0.25">
      <c r="A17" t="s">
        <v>14</v>
      </c>
      <c r="B17">
        <v>8</v>
      </c>
      <c r="C17" s="1" t="s">
        <v>10</v>
      </c>
    </row>
    <row r="18" spans="1:6" x14ac:dyDescent="0.25">
      <c r="A18" t="s">
        <v>17</v>
      </c>
      <c r="B18">
        <v>8</v>
      </c>
      <c r="C18" t="s">
        <v>3</v>
      </c>
      <c r="D18" s="6">
        <v>0.5714285714285714</v>
      </c>
      <c r="E18">
        <v>4</v>
      </c>
      <c r="F18">
        <v>7</v>
      </c>
    </row>
    <row r="19" spans="1:6" x14ac:dyDescent="0.25">
      <c r="A19" t="s">
        <v>17</v>
      </c>
      <c r="B19">
        <v>8</v>
      </c>
      <c r="C19" t="s">
        <v>18</v>
      </c>
      <c r="D19" s="6">
        <v>0.33333333333333331</v>
      </c>
      <c r="E19">
        <v>1</v>
      </c>
      <c r="F19">
        <v>3</v>
      </c>
    </row>
    <row r="20" spans="1:6" x14ac:dyDescent="0.25">
      <c r="A20" t="s">
        <v>17</v>
      </c>
      <c r="B20">
        <v>8</v>
      </c>
      <c r="C20" t="s">
        <v>16</v>
      </c>
      <c r="D20" s="6">
        <v>0.7142857142857143</v>
      </c>
      <c r="E20">
        <v>5</v>
      </c>
      <c r="F20">
        <v>7</v>
      </c>
    </row>
    <row r="21" spans="1:6" x14ac:dyDescent="0.25">
      <c r="A21" t="s">
        <v>17</v>
      </c>
      <c r="B21">
        <v>8</v>
      </c>
      <c r="C21" t="s">
        <v>22</v>
      </c>
      <c r="D21" s="6">
        <v>0.5</v>
      </c>
      <c r="E21">
        <v>3</v>
      </c>
      <c r="F21">
        <v>6</v>
      </c>
    </row>
    <row r="22" spans="1:6" x14ac:dyDescent="0.25">
      <c r="A22" t="s">
        <v>17</v>
      </c>
      <c r="B22">
        <v>8</v>
      </c>
      <c r="C22" t="s">
        <v>4</v>
      </c>
      <c r="D22" s="6">
        <v>0.625</v>
      </c>
      <c r="E22">
        <v>5</v>
      </c>
      <c r="F22">
        <v>8</v>
      </c>
    </row>
    <row r="23" spans="1:6" x14ac:dyDescent="0.25">
      <c r="A23" t="s">
        <v>17</v>
      </c>
      <c r="B23">
        <v>8</v>
      </c>
      <c r="C23" t="s">
        <v>6</v>
      </c>
      <c r="D23" s="6">
        <v>0.5</v>
      </c>
      <c r="E23">
        <v>3</v>
      </c>
      <c r="F23">
        <v>6</v>
      </c>
    </row>
    <row r="24" spans="1:6" x14ac:dyDescent="0.25">
      <c r="A24" t="s">
        <v>17</v>
      </c>
      <c r="B24">
        <v>8</v>
      </c>
      <c r="C24" t="s">
        <v>5</v>
      </c>
      <c r="D24" s="6">
        <v>0.5</v>
      </c>
      <c r="E24">
        <v>4</v>
      </c>
      <c r="F24">
        <v>8</v>
      </c>
    </row>
    <row r="25" spans="1:6" x14ac:dyDescent="0.25">
      <c r="A25" t="s">
        <v>17</v>
      </c>
      <c r="B25">
        <v>8</v>
      </c>
      <c r="C25" t="s">
        <v>8</v>
      </c>
      <c r="D25" s="6">
        <v>0.4</v>
      </c>
      <c r="E25">
        <v>2</v>
      </c>
      <c r="F25">
        <v>5</v>
      </c>
    </row>
    <row r="26" spans="1:6" x14ac:dyDescent="0.25">
      <c r="A26" t="s">
        <v>17</v>
      </c>
      <c r="B26">
        <v>8</v>
      </c>
      <c r="C26" t="s">
        <v>12</v>
      </c>
      <c r="D26" s="6">
        <v>0.42857142857142855</v>
      </c>
      <c r="E26">
        <v>3</v>
      </c>
      <c r="F26">
        <v>7</v>
      </c>
    </row>
    <row r="27" spans="1:6" x14ac:dyDescent="0.25">
      <c r="A27" t="s">
        <v>17</v>
      </c>
      <c r="B27">
        <v>8</v>
      </c>
      <c r="C27" t="s">
        <v>23</v>
      </c>
      <c r="D27" s="6">
        <v>0.33333333333333331</v>
      </c>
      <c r="E27">
        <v>1</v>
      </c>
      <c r="F27">
        <v>3</v>
      </c>
    </row>
    <row r="28" spans="1:6" x14ac:dyDescent="0.25">
      <c r="A28" t="s">
        <v>17</v>
      </c>
      <c r="B28">
        <v>8</v>
      </c>
      <c r="C28" t="s">
        <v>11</v>
      </c>
      <c r="D28" s="6">
        <v>0.25</v>
      </c>
      <c r="E28">
        <v>1</v>
      </c>
      <c r="F28">
        <v>4</v>
      </c>
    </row>
    <row r="29" spans="1:6" x14ac:dyDescent="0.25">
      <c r="A29" t="s">
        <v>17</v>
      </c>
      <c r="B29">
        <v>8</v>
      </c>
      <c r="C29" t="s">
        <v>9</v>
      </c>
      <c r="D29" s="6">
        <v>0.33333333333333331</v>
      </c>
      <c r="E29">
        <v>1</v>
      </c>
      <c r="F29">
        <v>3</v>
      </c>
    </row>
    <row r="30" spans="1:6" x14ac:dyDescent="0.25">
      <c r="A30" t="s">
        <v>17</v>
      </c>
      <c r="B30">
        <v>8</v>
      </c>
      <c r="C30" t="s">
        <v>24</v>
      </c>
      <c r="D30" s="6">
        <v>0.33333333333333331</v>
      </c>
      <c r="E30">
        <v>1</v>
      </c>
      <c r="F30">
        <v>3</v>
      </c>
    </row>
    <row r="31" spans="1:6" x14ac:dyDescent="0.25">
      <c r="A31" t="s">
        <v>17</v>
      </c>
      <c r="B31">
        <v>8</v>
      </c>
      <c r="C31" t="s">
        <v>26</v>
      </c>
      <c r="D31" s="6">
        <v>0</v>
      </c>
      <c r="E31">
        <v>0</v>
      </c>
      <c r="F31">
        <v>1</v>
      </c>
    </row>
    <row r="32" spans="1:6" x14ac:dyDescent="0.25">
      <c r="A32" t="s">
        <v>17</v>
      </c>
      <c r="B32">
        <v>8</v>
      </c>
      <c r="C32" t="s">
        <v>7</v>
      </c>
      <c r="D32" s="6">
        <v>1</v>
      </c>
      <c r="E32">
        <v>5</v>
      </c>
      <c r="F32">
        <v>5</v>
      </c>
    </row>
    <row r="33" spans="1:6" x14ac:dyDescent="0.25">
      <c r="A33" t="s">
        <v>17</v>
      </c>
      <c r="B33">
        <v>8</v>
      </c>
      <c r="C33" t="s">
        <v>10</v>
      </c>
    </row>
    <row r="34" spans="1:6" x14ac:dyDescent="0.25">
      <c r="A34" t="s">
        <v>21</v>
      </c>
      <c r="B34">
        <v>3</v>
      </c>
      <c r="C34" t="s">
        <v>3</v>
      </c>
      <c r="D34" s="6">
        <v>0.66666666666666663</v>
      </c>
      <c r="E34">
        <v>2</v>
      </c>
      <c r="F34">
        <v>3</v>
      </c>
    </row>
    <row r="35" spans="1:6" x14ac:dyDescent="0.25">
      <c r="A35" t="s">
        <v>21</v>
      </c>
      <c r="B35">
        <v>3</v>
      </c>
      <c r="C35" t="s">
        <v>18</v>
      </c>
      <c r="D35" s="6">
        <v>0.33333333333333331</v>
      </c>
      <c r="E35">
        <v>1</v>
      </c>
      <c r="F35">
        <v>3</v>
      </c>
    </row>
    <row r="36" spans="1:6" x14ac:dyDescent="0.25">
      <c r="A36" t="s">
        <v>21</v>
      </c>
      <c r="B36">
        <v>3</v>
      </c>
      <c r="C36" t="s">
        <v>16</v>
      </c>
      <c r="D36" s="6">
        <v>0.66666666666666663</v>
      </c>
      <c r="E36">
        <v>2</v>
      </c>
      <c r="F36">
        <v>3</v>
      </c>
    </row>
    <row r="37" spans="1:6" x14ac:dyDescent="0.25">
      <c r="A37" t="s">
        <v>21</v>
      </c>
      <c r="B37">
        <v>3</v>
      </c>
      <c r="C37" t="s">
        <v>22</v>
      </c>
      <c r="D37" s="6">
        <v>0</v>
      </c>
      <c r="E37">
        <v>0</v>
      </c>
      <c r="F37">
        <v>3</v>
      </c>
    </row>
    <row r="38" spans="1:6" x14ac:dyDescent="0.25">
      <c r="A38" t="s">
        <v>21</v>
      </c>
      <c r="B38">
        <v>3</v>
      </c>
      <c r="C38" t="s">
        <v>4</v>
      </c>
      <c r="D38" s="6">
        <v>1</v>
      </c>
      <c r="E38">
        <v>3</v>
      </c>
      <c r="F38">
        <v>3</v>
      </c>
    </row>
    <row r="39" spans="1:6" x14ac:dyDescent="0.25">
      <c r="A39" t="s">
        <v>21</v>
      </c>
      <c r="B39">
        <v>3</v>
      </c>
      <c r="C39" t="s">
        <v>6</v>
      </c>
      <c r="D39" s="6">
        <v>0.5</v>
      </c>
      <c r="E39">
        <v>1</v>
      </c>
      <c r="F39">
        <v>2</v>
      </c>
    </row>
    <row r="40" spans="1:6" x14ac:dyDescent="0.25">
      <c r="A40" t="s">
        <v>21</v>
      </c>
      <c r="B40">
        <v>3</v>
      </c>
      <c r="C40" t="s">
        <v>5</v>
      </c>
      <c r="D40" s="6">
        <v>1</v>
      </c>
      <c r="E40">
        <v>3</v>
      </c>
      <c r="F40">
        <v>3</v>
      </c>
    </row>
    <row r="41" spans="1:6" x14ac:dyDescent="0.25">
      <c r="A41" t="s">
        <v>21</v>
      </c>
      <c r="B41">
        <v>3</v>
      </c>
      <c r="C41" t="s">
        <v>8</v>
      </c>
      <c r="D41" s="6">
        <v>1</v>
      </c>
      <c r="E41">
        <v>1</v>
      </c>
      <c r="F41">
        <v>1</v>
      </c>
    </row>
    <row r="42" spans="1:6" x14ac:dyDescent="0.25">
      <c r="A42" t="s">
        <v>21</v>
      </c>
      <c r="B42">
        <v>3</v>
      </c>
      <c r="C42" t="s">
        <v>12</v>
      </c>
      <c r="D42" s="6">
        <v>0.33333333333333331</v>
      </c>
      <c r="E42">
        <v>1</v>
      </c>
      <c r="F42">
        <v>3</v>
      </c>
    </row>
    <row r="43" spans="1:6" x14ac:dyDescent="0.25">
      <c r="A43" t="s">
        <v>21</v>
      </c>
      <c r="B43">
        <v>3</v>
      </c>
      <c r="C43" t="s">
        <v>23</v>
      </c>
      <c r="D43" s="6">
        <v>0</v>
      </c>
      <c r="E43">
        <v>0</v>
      </c>
      <c r="F43">
        <v>3</v>
      </c>
    </row>
    <row r="44" spans="1:6" x14ac:dyDescent="0.25">
      <c r="A44" t="s">
        <v>21</v>
      </c>
      <c r="B44">
        <v>3</v>
      </c>
      <c r="C44" t="s">
        <v>11</v>
      </c>
      <c r="D44" s="6">
        <v>0.5</v>
      </c>
      <c r="E44">
        <v>1</v>
      </c>
      <c r="F44">
        <v>2</v>
      </c>
    </row>
    <row r="45" spans="1:6" x14ac:dyDescent="0.25">
      <c r="A45" t="s">
        <v>21</v>
      </c>
      <c r="B45">
        <v>3</v>
      </c>
      <c r="C45" t="s">
        <v>9</v>
      </c>
    </row>
    <row r="46" spans="1:6" x14ac:dyDescent="0.25">
      <c r="A46" t="s">
        <v>21</v>
      </c>
      <c r="B46">
        <v>3</v>
      </c>
      <c r="C46" t="s">
        <v>24</v>
      </c>
    </row>
    <row r="47" spans="1:6" x14ac:dyDescent="0.25">
      <c r="A47" t="s">
        <v>21</v>
      </c>
      <c r="B47">
        <v>3</v>
      </c>
      <c r="C47" t="s">
        <v>26</v>
      </c>
    </row>
    <row r="48" spans="1:6" x14ac:dyDescent="0.25">
      <c r="A48" t="s">
        <v>21</v>
      </c>
      <c r="B48">
        <v>3</v>
      </c>
      <c r="C48" t="s">
        <v>7</v>
      </c>
      <c r="D48" s="6">
        <v>0</v>
      </c>
      <c r="E48">
        <v>0</v>
      </c>
      <c r="F48">
        <v>1</v>
      </c>
    </row>
    <row r="49" spans="1:6" x14ac:dyDescent="0.25">
      <c r="A49" t="s">
        <v>21</v>
      </c>
      <c r="B49">
        <v>3</v>
      </c>
      <c r="C49" t="s">
        <v>10</v>
      </c>
    </row>
    <row r="50" spans="1:6" x14ac:dyDescent="0.25">
      <c r="A50" t="s">
        <v>25</v>
      </c>
      <c r="B50">
        <v>4</v>
      </c>
      <c r="C50" t="s">
        <v>3</v>
      </c>
      <c r="D50" s="6">
        <v>0.33333333333333331</v>
      </c>
      <c r="E50">
        <v>1</v>
      </c>
      <c r="F50">
        <v>3</v>
      </c>
    </row>
    <row r="51" spans="1:6" x14ac:dyDescent="0.25">
      <c r="A51" t="s">
        <v>25</v>
      </c>
      <c r="B51">
        <v>4</v>
      </c>
      <c r="C51" t="s">
        <v>18</v>
      </c>
      <c r="D51" s="6">
        <v>0</v>
      </c>
      <c r="E51">
        <v>0</v>
      </c>
      <c r="F51">
        <v>1</v>
      </c>
    </row>
    <row r="52" spans="1:6" x14ac:dyDescent="0.25">
      <c r="A52" t="s">
        <v>25</v>
      </c>
      <c r="B52">
        <v>4</v>
      </c>
      <c r="C52" t="s">
        <v>16</v>
      </c>
      <c r="D52" s="6">
        <v>0.25</v>
      </c>
      <c r="E52">
        <v>1</v>
      </c>
      <c r="F52">
        <v>4</v>
      </c>
    </row>
    <row r="53" spans="1:6" x14ac:dyDescent="0.25">
      <c r="A53" t="s">
        <v>25</v>
      </c>
      <c r="B53">
        <v>4</v>
      </c>
      <c r="C53" t="s">
        <v>22</v>
      </c>
      <c r="D53" s="6">
        <v>0.66666666666666663</v>
      </c>
      <c r="E53">
        <v>2</v>
      </c>
      <c r="F53">
        <v>3</v>
      </c>
    </row>
    <row r="54" spans="1:6" x14ac:dyDescent="0.25">
      <c r="A54" t="s">
        <v>25</v>
      </c>
      <c r="B54">
        <v>4</v>
      </c>
      <c r="C54" t="s">
        <v>4</v>
      </c>
      <c r="D54" s="6">
        <v>0.5</v>
      </c>
      <c r="E54">
        <v>2</v>
      </c>
      <c r="F54">
        <v>4</v>
      </c>
    </row>
    <row r="55" spans="1:6" x14ac:dyDescent="0.25">
      <c r="A55" t="s">
        <v>25</v>
      </c>
      <c r="B55">
        <v>4</v>
      </c>
      <c r="C55" t="s">
        <v>6</v>
      </c>
      <c r="D55" s="6">
        <v>1</v>
      </c>
      <c r="E55">
        <v>2</v>
      </c>
      <c r="F55">
        <v>2</v>
      </c>
    </row>
    <row r="56" spans="1:6" x14ac:dyDescent="0.25">
      <c r="A56" t="s">
        <v>25</v>
      </c>
      <c r="B56">
        <v>4</v>
      </c>
      <c r="C56" t="s">
        <v>5</v>
      </c>
      <c r="D56" s="6">
        <v>0.5</v>
      </c>
      <c r="E56">
        <v>2</v>
      </c>
      <c r="F56">
        <v>4</v>
      </c>
    </row>
    <row r="57" spans="1:6" x14ac:dyDescent="0.25">
      <c r="A57" t="s">
        <v>25</v>
      </c>
      <c r="B57">
        <v>4</v>
      </c>
      <c r="C57" t="s">
        <v>8</v>
      </c>
      <c r="D57" s="6">
        <v>0.5</v>
      </c>
      <c r="E57">
        <v>2</v>
      </c>
      <c r="F57">
        <v>4</v>
      </c>
    </row>
    <row r="58" spans="1:6" x14ac:dyDescent="0.25">
      <c r="A58" t="s">
        <v>25</v>
      </c>
      <c r="B58">
        <v>4</v>
      </c>
      <c r="C58" t="s">
        <v>12</v>
      </c>
      <c r="D58" s="6">
        <v>0.25</v>
      </c>
      <c r="E58">
        <v>1</v>
      </c>
      <c r="F58">
        <v>4</v>
      </c>
    </row>
    <row r="59" spans="1:6" x14ac:dyDescent="0.25">
      <c r="A59" t="s">
        <v>25</v>
      </c>
      <c r="B59">
        <v>4</v>
      </c>
      <c r="C59" t="s">
        <v>23</v>
      </c>
      <c r="D59" s="6">
        <v>0.66666666666666663</v>
      </c>
      <c r="E59">
        <v>2</v>
      </c>
      <c r="F59">
        <v>3</v>
      </c>
    </row>
    <row r="60" spans="1:6" x14ac:dyDescent="0.25">
      <c r="A60" t="s">
        <v>25</v>
      </c>
      <c r="B60">
        <v>4</v>
      </c>
      <c r="C60" t="s">
        <v>11</v>
      </c>
    </row>
    <row r="61" spans="1:6" x14ac:dyDescent="0.25">
      <c r="A61" t="s">
        <v>25</v>
      </c>
      <c r="B61">
        <v>4</v>
      </c>
      <c r="C61" t="s">
        <v>9</v>
      </c>
      <c r="D61" s="6">
        <v>0.5</v>
      </c>
      <c r="E61">
        <v>1</v>
      </c>
      <c r="F61">
        <v>2</v>
      </c>
    </row>
    <row r="62" spans="1:6" x14ac:dyDescent="0.25">
      <c r="A62" t="s">
        <v>25</v>
      </c>
      <c r="B62">
        <v>4</v>
      </c>
      <c r="C62" t="s">
        <v>24</v>
      </c>
      <c r="D62" s="6">
        <v>0.5</v>
      </c>
      <c r="E62">
        <v>1</v>
      </c>
      <c r="F62">
        <v>2</v>
      </c>
    </row>
    <row r="63" spans="1:6" x14ac:dyDescent="0.25">
      <c r="A63" t="s">
        <v>25</v>
      </c>
      <c r="B63">
        <v>4</v>
      </c>
      <c r="C63" t="s">
        <v>26</v>
      </c>
      <c r="D63" s="6">
        <v>1</v>
      </c>
      <c r="E63">
        <v>1</v>
      </c>
      <c r="F63">
        <v>1</v>
      </c>
    </row>
    <row r="64" spans="1:6" x14ac:dyDescent="0.25">
      <c r="A64" t="s">
        <v>25</v>
      </c>
      <c r="B64">
        <v>4</v>
      </c>
      <c r="C64" t="s">
        <v>7</v>
      </c>
      <c r="D64" s="6">
        <v>0.5</v>
      </c>
      <c r="E64">
        <v>1</v>
      </c>
      <c r="F64">
        <v>2</v>
      </c>
    </row>
    <row r="65" spans="1:6" x14ac:dyDescent="0.25">
      <c r="A65" t="s">
        <v>25</v>
      </c>
      <c r="B65">
        <v>4</v>
      </c>
      <c r="C65" t="s">
        <v>10</v>
      </c>
    </row>
    <row r="66" spans="1:6" x14ac:dyDescent="0.25">
      <c r="A66" t="s">
        <v>13</v>
      </c>
      <c r="B66">
        <v>4</v>
      </c>
      <c r="C66" t="s">
        <v>3</v>
      </c>
      <c r="D66" s="6">
        <v>0.5</v>
      </c>
      <c r="E66">
        <v>2</v>
      </c>
      <c r="F66">
        <v>4</v>
      </c>
    </row>
    <row r="67" spans="1:6" x14ac:dyDescent="0.25">
      <c r="A67" t="s">
        <v>13</v>
      </c>
      <c r="B67">
        <v>4</v>
      </c>
      <c r="C67" t="s">
        <v>18</v>
      </c>
    </row>
    <row r="68" spans="1:6" x14ac:dyDescent="0.25">
      <c r="A68" t="s">
        <v>13</v>
      </c>
      <c r="B68">
        <v>4</v>
      </c>
      <c r="C68" t="s">
        <v>16</v>
      </c>
      <c r="D68" s="6">
        <v>0.5</v>
      </c>
      <c r="E68">
        <v>1</v>
      </c>
      <c r="F68">
        <v>2</v>
      </c>
    </row>
    <row r="69" spans="1:6" x14ac:dyDescent="0.25">
      <c r="A69" t="s">
        <v>13</v>
      </c>
      <c r="B69">
        <v>4</v>
      </c>
      <c r="C69" t="s">
        <v>22</v>
      </c>
      <c r="D69" s="6">
        <v>1</v>
      </c>
      <c r="E69">
        <v>2</v>
      </c>
      <c r="F69">
        <v>2</v>
      </c>
    </row>
    <row r="70" spans="1:6" x14ac:dyDescent="0.25">
      <c r="A70" t="s">
        <v>13</v>
      </c>
      <c r="B70">
        <v>4</v>
      </c>
      <c r="C70" t="s">
        <v>4</v>
      </c>
      <c r="D70" s="6">
        <v>0.75</v>
      </c>
      <c r="E70">
        <v>3</v>
      </c>
      <c r="F70">
        <v>4</v>
      </c>
    </row>
    <row r="71" spans="1:6" x14ac:dyDescent="0.25">
      <c r="A71" t="s">
        <v>13</v>
      </c>
      <c r="B71">
        <v>4</v>
      </c>
      <c r="C71" t="s">
        <v>6</v>
      </c>
      <c r="D71" s="6">
        <v>0.75</v>
      </c>
      <c r="E71">
        <v>3</v>
      </c>
      <c r="F71">
        <v>4</v>
      </c>
    </row>
    <row r="72" spans="1:6" x14ac:dyDescent="0.25">
      <c r="A72" t="s">
        <v>13</v>
      </c>
      <c r="B72">
        <v>4</v>
      </c>
      <c r="C72" t="s">
        <v>5</v>
      </c>
      <c r="D72" s="6">
        <v>0.75</v>
      </c>
      <c r="E72">
        <v>3</v>
      </c>
      <c r="F72">
        <v>4</v>
      </c>
    </row>
    <row r="73" spans="1:6" x14ac:dyDescent="0.25">
      <c r="A73" t="s">
        <v>13</v>
      </c>
      <c r="B73">
        <v>4</v>
      </c>
      <c r="C73" t="s">
        <v>8</v>
      </c>
      <c r="D73" s="6">
        <v>0</v>
      </c>
      <c r="E73">
        <v>0</v>
      </c>
      <c r="F73">
        <v>2</v>
      </c>
    </row>
    <row r="74" spans="1:6" x14ac:dyDescent="0.25">
      <c r="A74" t="s">
        <v>13</v>
      </c>
      <c r="B74">
        <v>4</v>
      </c>
      <c r="C74" t="s">
        <v>12</v>
      </c>
      <c r="D74" s="6">
        <v>0.25</v>
      </c>
      <c r="E74">
        <v>1</v>
      </c>
      <c r="F74">
        <v>4</v>
      </c>
    </row>
    <row r="75" spans="1:6" x14ac:dyDescent="0.25">
      <c r="A75" t="s">
        <v>13</v>
      </c>
      <c r="B75">
        <v>4</v>
      </c>
      <c r="C75" t="s">
        <v>23</v>
      </c>
      <c r="D75" s="6">
        <v>0.33333333333333331</v>
      </c>
      <c r="E75">
        <v>1</v>
      </c>
      <c r="F75">
        <v>3</v>
      </c>
    </row>
    <row r="76" spans="1:6" x14ac:dyDescent="0.25">
      <c r="A76" t="s">
        <v>13</v>
      </c>
      <c r="B76">
        <v>4</v>
      </c>
      <c r="C76" t="s">
        <v>11</v>
      </c>
      <c r="D76" s="6">
        <v>0.33333333333333331</v>
      </c>
      <c r="E76">
        <v>1</v>
      </c>
      <c r="F76">
        <v>3</v>
      </c>
    </row>
    <row r="77" spans="1:6" x14ac:dyDescent="0.25">
      <c r="A77" t="s">
        <v>13</v>
      </c>
      <c r="B77">
        <v>4</v>
      </c>
      <c r="C77" t="s">
        <v>9</v>
      </c>
      <c r="D77" s="6">
        <v>0</v>
      </c>
      <c r="E77">
        <v>0</v>
      </c>
      <c r="F77">
        <v>2</v>
      </c>
    </row>
    <row r="78" spans="1:6" x14ac:dyDescent="0.25">
      <c r="A78" t="s">
        <v>13</v>
      </c>
      <c r="B78">
        <v>4</v>
      </c>
      <c r="C78" t="s">
        <v>24</v>
      </c>
      <c r="D78" s="6">
        <v>1</v>
      </c>
      <c r="E78">
        <v>1</v>
      </c>
      <c r="F78">
        <v>1</v>
      </c>
    </row>
    <row r="79" spans="1:6" x14ac:dyDescent="0.25">
      <c r="A79" t="s">
        <v>13</v>
      </c>
      <c r="B79">
        <v>4</v>
      </c>
      <c r="C79" t="s">
        <v>26</v>
      </c>
    </row>
    <row r="80" spans="1:6" x14ac:dyDescent="0.25">
      <c r="A80" t="s">
        <v>13</v>
      </c>
      <c r="B80">
        <v>4</v>
      </c>
      <c r="C80" t="s">
        <v>7</v>
      </c>
      <c r="D80" s="6">
        <v>0.66666666666666663</v>
      </c>
      <c r="E80">
        <v>2</v>
      </c>
      <c r="F80">
        <v>3</v>
      </c>
    </row>
    <row r="81" spans="1:6" x14ac:dyDescent="0.25">
      <c r="A81" t="s">
        <v>13</v>
      </c>
      <c r="B81">
        <v>4</v>
      </c>
      <c r="C81" t="s">
        <v>10</v>
      </c>
      <c r="D81" s="6">
        <v>0</v>
      </c>
      <c r="E81">
        <v>0</v>
      </c>
      <c r="F81">
        <v>2</v>
      </c>
    </row>
    <row r="82" spans="1:6" x14ac:dyDescent="0.25">
      <c r="A82" t="s">
        <v>19</v>
      </c>
      <c r="B82">
        <v>5</v>
      </c>
      <c r="C82" t="s">
        <v>3</v>
      </c>
      <c r="D82" s="6">
        <v>0.5</v>
      </c>
      <c r="E82">
        <v>2</v>
      </c>
      <c r="F82">
        <v>4</v>
      </c>
    </row>
    <row r="83" spans="1:6" x14ac:dyDescent="0.25">
      <c r="A83" t="s">
        <v>19</v>
      </c>
      <c r="B83">
        <v>5</v>
      </c>
      <c r="C83" t="s">
        <v>18</v>
      </c>
    </row>
    <row r="84" spans="1:6" x14ac:dyDescent="0.25">
      <c r="A84" t="s">
        <v>19</v>
      </c>
      <c r="B84">
        <v>5</v>
      </c>
      <c r="C84" t="s">
        <v>16</v>
      </c>
      <c r="D84" s="6">
        <v>0</v>
      </c>
      <c r="E84">
        <v>0</v>
      </c>
      <c r="F84">
        <v>3</v>
      </c>
    </row>
    <row r="85" spans="1:6" x14ac:dyDescent="0.25">
      <c r="A85" t="s">
        <v>19</v>
      </c>
      <c r="B85">
        <v>5</v>
      </c>
      <c r="C85" t="s">
        <v>22</v>
      </c>
      <c r="D85" s="6">
        <v>0.6</v>
      </c>
      <c r="E85">
        <v>3</v>
      </c>
      <c r="F85">
        <v>5</v>
      </c>
    </row>
    <row r="86" spans="1:6" x14ac:dyDescent="0.25">
      <c r="A86" t="s">
        <v>19</v>
      </c>
      <c r="B86">
        <v>5</v>
      </c>
      <c r="C86" t="s">
        <v>4</v>
      </c>
      <c r="D86" s="6">
        <v>0.5</v>
      </c>
      <c r="E86">
        <v>2</v>
      </c>
      <c r="F86">
        <v>4</v>
      </c>
    </row>
    <row r="87" spans="1:6" x14ac:dyDescent="0.25">
      <c r="A87" t="s">
        <v>19</v>
      </c>
      <c r="B87">
        <v>5</v>
      </c>
      <c r="C87" t="s">
        <v>6</v>
      </c>
      <c r="D87" s="6">
        <v>1</v>
      </c>
      <c r="E87">
        <v>5</v>
      </c>
      <c r="F87">
        <v>5</v>
      </c>
    </row>
    <row r="88" spans="1:6" x14ac:dyDescent="0.25">
      <c r="A88" t="s">
        <v>19</v>
      </c>
      <c r="B88">
        <v>5</v>
      </c>
      <c r="C88" t="s">
        <v>5</v>
      </c>
      <c r="D88" s="6">
        <v>0.4</v>
      </c>
      <c r="E88">
        <v>2</v>
      </c>
      <c r="F88">
        <v>5</v>
      </c>
    </row>
    <row r="89" spans="1:6" x14ac:dyDescent="0.25">
      <c r="A89" t="s">
        <v>19</v>
      </c>
      <c r="B89">
        <v>5</v>
      </c>
      <c r="C89" t="s">
        <v>8</v>
      </c>
      <c r="D89" s="6">
        <v>0.33333333333333331</v>
      </c>
      <c r="E89">
        <v>1</v>
      </c>
      <c r="F89">
        <v>3</v>
      </c>
    </row>
    <row r="90" spans="1:6" x14ac:dyDescent="0.25">
      <c r="A90" t="s">
        <v>19</v>
      </c>
      <c r="B90">
        <v>5</v>
      </c>
      <c r="C90" t="s">
        <v>12</v>
      </c>
      <c r="D90" s="6">
        <v>0.6</v>
      </c>
      <c r="E90">
        <v>3</v>
      </c>
      <c r="F90">
        <v>5</v>
      </c>
    </row>
    <row r="91" spans="1:6" x14ac:dyDescent="0.25">
      <c r="A91" t="s">
        <v>19</v>
      </c>
      <c r="B91">
        <v>5</v>
      </c>
      <c r="C91" t="s">
        <v>23</v>
      </c>
      <c r="D91" s="6">
        <v>1</v>
      </c>
      <c r="E91">
        <v>1</v>
      </c>
      <c r="F91">
        <v>1</v>
      </c>
    </row>
    <row r="92" spans="1:6" x14ac:dyDescent="0.25">
      <c r="A92" t="s">
        <v>19</v>
      </c>
      <c r="B92">
        <v>5</v>
      </c>
      <c r="C92" t="s">
        <v>11</v>
      </c>
      <c r="D92" s="6">
        <v>1</v>
      </c>
      <c r="E92">
        <v>2</v>
      </c>
      <c r="F92">
        <v>2</v>
      </c>
    </row>
    <row r="93" spans="1:6" x14ac:dyDescent="0.25">
      <c r="A93" t="s">
        <v>19</v>
      </c>
      <c r="B93">
        <v>5</v>
      </c>
      <c r="C93" t="s">
        <v>9</v>
      </c>
      <c r="D93" s="6">
        <v>1</v>
      </c>
      <c r="E93">
        <v>2</v>
      </c>
      <c r="F93">
        <v>2</v>
      </c>
    </row>
    <row r="94" spans="1:6" x14ac:dyDescent="0.25">
      <c r="A94" t="s">
        <v>19</v>
      </c>
      <c r="B94">
        <v>5</v>
      </c>
      <c r="C94" t="s">
        <v>24</v>
      </c>
      <c r="D94" s="6">
        <v>0.33333333333333331</v>
      </c>
      <c r="E94">
        <v>1</v>
      </c>
      <c r="F94">
        <v>3</v>
      </c>
    </row>
    <row r="95" spans="1:6" x14ac:dyDescent="0.25">
      <c r="A95" t="s">
        <v>19</v>
      </c>
      <c r="B95">
        <v>5</v>
      </c>
      <c r="C95" t="s">
        <v>26</v>
      </c>
      <c r="D95" s="6">
        <v>0</v>
      </c>
      <c r="E95">
        <v>0</v>
      </c>
      <c r="F95">
        <v>1</v>
      </c>
    </row>
    <row r="96" spans="1:6" x14ac:dyDescent="0.25">
      <c r="A96" t="s">
        <v>19</v>
      </c>
      <c r="B96">
        <v>5</v>
      </c>
      <c r="C96" t="s">
        <v>7</v>
      </c>
      <c r="D96" s="6">
        <v>0.33333333333333331</v>
      </c>
      <c r="E96">
        <v>1</v>
      </c>
      <c r="F96">
        <v>3</v>
      </c>
    </row>
    <row r="97" spans="1:6" x14ac:dyDescent="0.25">
      <c r="A97" t="s">
        <v>19</v>
      </c>
      <c r="B97">
        <v>5</v>
      </c>
      <c r="C97" t="s">
        <v>10</v>
      </c>
    </row>
    <row r="98" spans="1:6" x14ac:dyDescent="0.25">
      <c r="A98" t="s">
        <v>20</v>
      </c>
      <c r="B98">
        <v>5</v>
      </c>
      <c r="C98" t="s">
        <v>3</v>
      </c>
      <c r="D98" s="6">
        <v>0.8</v>
      </c>
      <c r="E98">
        <v>4</v>
      </c>
      <c r="F98">
        <v>5</v>
      </c>
    </row>
    <row r="99" spans="1:6" x14ac:dyDescent="0.25">
      <c r="A99" t="s">
        <v>20</v>
      </c>
      <c r="B99">
        <v>5</v>
      </c>
      <c r="C99" t="s">
        <v>18</v>
      </c>
    </row>
    <row r="100" spans="1:6" x14ac:dyDescent="0.25">
      <c r="A100" t="s">
        <v>20</v>
      </c>
      <c r="B100">
        <v>5</v>
      </c>
      <c r="C100" t="s">
        <v>16</v>
      </c>
      <c r="D100" s="6">
        <v>0.33333333333333331</v>
      </c>
      <c r="E100">
        <v>1</v>
      </c>
      <c r="F100">
        <v>3</v>
      </c>
    </row>
    <row r="101" spans="1:6" x14ac:dyDescent="0.25">
      <c r="A101" t="s">
        <v>20</v>
      </c>
      <c r="B101">
        <v>5</v>
      </c>
      <c r="C101" t="s">
        <v>22</v>
      </c>
      <c r="D101" s="6">
        <v>0.75</v>
      </c>
      <c r="E101">
        <v>3</v>
      </c>
      <c r="F101">
        <v>4</v>
      </c>
    </row>
    <row r="102" spans="1:6" x14ac:dyDescent="0.25">
      <c r="A102" t="s">
        <v>20</v>
      </c>
      <c r="B102">
        <v>5</v>
      </c>
      <c r="C102" t="s">
        <v>4</v>
      </c>
      <c r="D102" s="6">
        <v>0.6</v>
      </c>
      <c r="E102">
        <v>3</v>
      </c>
      <c r="F102">
        <v>5</v>
      </c>
    </row>
    <row r="103" spans="1:6" x14ac:dyDescent="0.25">
      <c r="A103" t="s">
        <v>20</v>
      </c>
      <c r="B103">
        <v>5</v>
      </c>
      <c r="C103" t="s">
        <v>6</v>
      </c>
      <c r="D103" s="6">
        <v>0.25</v>
      </c>
      <c r="E103">
        <v>1</v>
      </c>
      <c r="F103">
        <v>4</v>
      </c>
    </row>
    <row r="104" spans="1:6" x14ac:dyDescent="0.25">
      <c r="A104" t="s">
        <v>20</v>
      </c>
      <c r="B104">
        <v>5</v>
      </c>
      <c r="C104" t="s">
        <v>5</v>
      </c>
      <c r="D104" s="6">
        <v>0.5</v>
      </c>
      <c r="E104">
        <v>2</v>
      </c>
      <c r="F104">
        <v>4</v>
      </c>
    </row>
    <row r="105" spans="1:6" x14ac:dyDescent="0.25">
      <c r="A105" t="s">
        <v>20</v>
      </c>
      <c r="B105">
        <v>5</v>
      </c>
      <c r="C105" t="s">
        <v>8</v>
      </c>
      <c r="D105" s="6">
        <v>0.33333333333333331</v>
      </c>
      <c r="E105">
        <v>1</v>
      </c>
      <c r="F105">
        <v>3</v>
      </c>
    </row>
    <row r="106" spans="1:6" x14ac:dyDescent="0.25">
      <c r="A106" t="s">
        <v>20</v>
      </c>
      <c r="B106">
        <v>5</v>
      </c>
      <c r="C106" t="s">
        <v>12</v>
      </c>
      <c r="D106" s="6">
        <v>0.8</v>
      </c>
      <c r="E106">
        <v>4</v>
      </c>
      <c r="F106">
        <v>5</v>
      </c>
    </row>
    <row r="107" spans="1:6" x14ac:dyDescent="0.25">
      <c r="A107" t="s">
        <v>20</v>
      </c>
      <c r="B107">
        <v>5</v>
      </c>
      <c r="C107" t="s">
        <v>23</v>
      </c>
      <c r="D107" s="6">
        <v>0</v>
      </c>
      <c r="E107">
        <v>0</v>
      </c>
      <c r="F107">
        <v>3</v>
      </c>
    </row>
    <row r="108" spans="1:6" x14ac:dyDescent="0.25">
      <c r="A108" t="s">
        <v>20</v>
      </c>
      <c r="B108">
        <v>5</v>
      </c>
      <c r="C108" t="s">
        <v>11</v>
      </c>
      <c r="D108" s="6">
        <v>1</v>
      </c>
      <c r="E108">
        <v>2</v>
      </c>
      <c r="F108">
        <v>2</v>
      </c>
    </row>
    <row r="109" spans="1:6" x14ac:dyDescent="0.25">
      <c r="A109" t="s">
        <v>20</v>
      </c>
      <c r="B109">
        <v>5</v>
      </c>
      <c r="C109" t="s">
        <v>9</v>
      </c>
      <c r="D109" s="6">
        <v>0.5</v>
      </c>
      <c r="E109">
        <v>1</v>
      </c>
      <c r="F109">
        <v>2</v>
      </c>
    </row>
    <row r="110" spans="1:6" x14ac:dyDescent="0.25">
      <c r="A110" t="s">
        <v>20</v>
      </c>
      <c r="B110">
        <v>5</v>
      </c>
      <c r="C110" t="s">
        <v>24</v>
      </c>
      <c r="D110" s="6">
        <v>0</v>
      </c>
      <c r="E110">
        <v>0</v>
      </c>
      <c r="F110">
        <v>3</v>
      </c>
    </row>
    <row r="111" spans="1:6" x14ac:dyDescent="0.25">
      <c r="A111" t="s">
        <v>20</v>
      </c>
      <c r="B111">
        <v>5</v>
      </c>
      <c r="C111" t="s">
        <v>26</v>
      </c>
      <c r="D111" s="6">
        <v>0</v>
      </c>
      <c r="E111">
        <v>0</v>
      </c>
      <c r="F111">
        <v>2</v>
      </c>
    </row>
    <row r="112" spans="1:6" x14ac:dyDescent="0.25">
      <c r="A112" t="s">
        <v>20</v>
      </c>
      <c r="B112">
        <v>5</v>
      </c>
      <c r="C112" t="s">
        <v>7</v>
      </c>
      <c r="D112" s="6">
        <v>1</v>
      </c>
      <c r="E112">
        <v>2</v>
      </c>
      <c r="F112">
        <v>2</v>
      </c>
    </row>
    <row r="113" spans="1:6" x14ac:dyDescent="0.25">
      <c r="A113" t="s">
        <v>20</v>
      </c>
      <c r="B113">
        <v>5</v>
      </c>
      <c r="C113" t="s">
        <v>10</v>
      </c>
      <c r="D113" s="6">
        <v>0</v>
      </c>
      <c r="E113">
        <v>0</v>
      </c>
      <c r="F113">
        <v>1</v>
      </c>
    </row>
    <row r="114" spans="1:6" x14ac:dyDescent="0.25">
      <c r="A114" t="s">
        <v>2</v>
      </c>
      <c r="B114">
        <v>8</v>
      </c>
      <c r="C114" t="s">
        <v>3</v>
      </c>
      <c r="D114" s="6">
        <v>0.5</v>
      </c>
      <c r="E114">
        <v>3</v>
      </c>
      <c r="F114">
        <v>6</v>
      </c>
    </row>
    <row r="115" spans="1:6" x14ac:dyDescent="0.25">
      <c r="A115" t="s">
        <v>2</v>
      </c>
      <c r="B115">
        <v>8</v>
      </c>
      <c r="C115" t="s">
        <v>18</v>
      </c>
      <c r="D115" s="6">
        <v>0</v>
      </c>
      <c r="E115">
        <v>0</v>
      </c>
      <c r="F115">
        <v>1</v>
      </c>
    </row>
    <row r="116" spans="1:6" x14ac:dyDescent="0.25">
      <c r="A116" t="s">
        <v>2</v>
      </c>
      <c r="B116">
        <v>8</v>
      </c>
      <c r="C116" t="s">
        <v>16</v>
      </c>
      <c r="D116" s="6">
        <v>0.5</v>
      </c>
      <c r="E116">
        <v>3</v>
      </c>
      <c r="F116">
        <v>6</v>
      </c>
    </row>
    <row r="117" spans="1:6" x14ac:dyDescent="0.25">
      <c r="A117" t="s">
        <v>2</v>
      </c>
      <c r="B117">
        <v>8</v>
      </c>
      <c r="C117" t="s">
        <v>22</v>
      </c>
      <c r="D117" s="6">
        <v>0.16666666666666666</v>
      </c>
      <c r="E117">
        <v>1</v>
      </c>
      <c r="F117">
        <v>6</v>
      </c>
    </row>
    <row r="118" spans="1:6" x14ac:dyDescent="0.25">
      <c r="A118" t="s">
        <v>2</v>
      </c>
      <c r="B118">
        <v>8</v>
      </c>
      <c r="C118" t="s">
        <v>4</v>
      </c>
      <c r="D118" s="6">
        <v>0.625</v>
      </c>
      <c r="E118">
        <v>5</v>
      </c>
      <c r="F118">
        <v>8</v>
      </c>
    </row>
    <row r="119" spans="1:6" x14ac:dyDescent="0.25">
      <c r="A119" t="s">
        <v>2</v>
      </c>
      <c r="B119">
        <v>8</v>
      </c>
      <c r="C119" t="s">
        <v>6</v>
      </c>
      <c r="D119" s="6">
        <v>0.2857142857142857</v>
      </c>
      <c r="E119">
        <v>2</v>
      </c>
      <c r="F119">
        <v>7</v>
      </c>
    </row>
    <row r="120" spans="1:6" x14ac:dyDescent="0.25">
      <c r="A120" t="s">
        <v>2</v>
      </c>
      <c r="B120">
        <v>8</v>
      </c>
      <c r="C120" t="s">
        <v>5</v>
      </c>
      <c r="D120" s="6">
        <v>0.7142857142857143</v>
      </c>
      <c r="E120">
        <v>5</v>
      </c>
      <c r="F120">
        <v>7</v>
      </c>
    </row>
    <row r="121" spans="1:6" x14ac:dyDescent="0.25">
      <c r="A121" t="s">
        <v>2</v>
      </c>
      <c r="B121">
        <v>8</v>
      </c>
      <c r="C121" t="s">
        <v>8</v>
      </c>
      <c r="D121" s="6">
        <v>0.6</v>
      </c>
      <c r="E121">
        <v>3</v>
      </c>
      <c r="F121">
        <v>5</v>
      </c>
    </row>
    <row r="122" spans="1:6" x14ac:dyDescent="0.25">
      <c r="A122" t="s">
        <v>2</v>
      </c>
      <c r="B122">
        <v>8</v>
      </c>
      <c r="C122" t="s">
        <v>12</v>
      </c>
      <c r="D122" s="6">
        <v>0.5</v>
      </c>
      <c r="E122">
        <v>4</v>
      </c>
      <c r="F122">
        <v>8</v>
      </c>
    </row>
    <row r="123" spans="1:6" x14ac:dyDescent="0.25">
      <c r="A123" t="s">
        <v>2</v>
      </c>
      <c r="B123">
        <v>8</v>
      </c>
      <c r="C123" t="s">
        <v>23</v>
      </c>
      <c r="D123" s="6">
        <v>0.5</v>
      </c>
      <c r="E123">
        <v>2</v>
      </c>
      <c r="F123">
        <v>4</v>
      </c>
    </row>
    <row r="124" spans="1:6" x14ac:dyDescent="0.25">
      <c r="A124" t="s">
        <v>2</v>
      </c>
      <c r="B124">
        <v>8</v>
      </c>
      <c r="C124" t="s">
        <v>11</v>
      </c>
      <c r="D124" s="6">
        <v>0.5</v>
      </c>
      <c r="E124">
        <v>1</v>
      </c>
      <c r="F124">
        <v>2</v>
      </c>
    </row>
    <row r="125" spans="1:6" x14ac:dyDescent="0.25">
      <c r="A125" t="s">
        <v>2</v>
      </c>
      <c r="B125">
        <v>8</v>
      </c>
      <c r="C125" t="s">
        <v>9</v>
      </c>
      <c r="D125" s="6">
        <v>0.2857142857142857</v>
      </c>
      <c r="E125">
        <v>2</v>
      </c>
      <c r="F125">
        <v>7</v>
      </c>
    </row>
    <row r="126" spans="1:6" x14ac:dyDescent="0.25">
      <c r="A126" t="s">
        <v>2</v>
      </c>
      <c r="B126">
        <v>8</v>
      </c>
      <c r="C126" t="s">
        <v>24</v>
      </c>
      <c r="D126" s="6">
        <v>0.33333333333333331</v>
      </c>
      <c r="E126">
        <v>1</v>
      </c>
      <c r="F126">
        <v>3</v>
      </c>
    </row>
    <row r="127" spans="1:6" x14ac:dyDescent="0.25">
      <c r="A127" t="s">
        <v>2</v>
      </c>
      <c r="B127">
        <v>8</v>
      </c>
      <c r="C127" t="s">
        <v>26</v>
      </c>
      <c r="D127" s="6">
        <v>1</v>
      </c>
      <c r="E127">
        <v>1</v>
      </c>
      <c r="F127">
        <v>1</v>
      </c>
    </row>
    <row r="128" spans="1:6" x14ac:dyDescent="0.25">
      <c r="A128" t="s">
        <v>2</v>
      </c>
      <c r="B128">
        <v>8</v>
      </c>
      <c r="C128" t="s">
        <v>7</v>
      </c>
      <c r="D128" s="6">
        <v>0.8571428571428571</v>
      </c>
      <c r="E128">
        <v>6</v>
      </c>
      <c r="F128">
        <v>7</v>
      </c>
    </row>
    <row r="129" spans="1:6" x14ac:dyDescent="0.25">
      <c r="A129" t="s">
        <v>2</v>
      </c>
      <c r="B129">
        <v>8</v>
      </c>
      <c r="C129" t="s">
        <v>10</v>
      </c>
      <c r="D129" s="6">
        <v>0</v>
      </c>
      <c r="E129">
        <v>0</v>
      </c>
      <c r="F129">
        <v>1</v>
      </c>
    </row>
  </sheetData>
  <pageMargins left="0.7" right="0.7" top="0.75" bottom="0.75" header="0.3" footer="0.3"/>
  <pageSetup paperSize="256" orientation="landscape" horizontalDpi="300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tabColor theme="7" tint="0.59999389629810485"/>
  </sheetPr>
  <dimension ref="A1"/>
  <sheetViews>
    <sheetView workbookViewId="0">
      <selection activeCell="E11" sqref="E11"/>
    </sheetView>
  </sheetViews>
  <sheetFormatPr defaultRowHeight="15" x14ac:dyDescent="0.25"/>
  <cols>
    <col min="1" max="1" width="13.28515625" customWidth="1"/>
  </cols>
  <sheetData>
    <row r="1" spans="1:1" x14ac:dyDescent="0.25">
      <c r="A1" s="36">
        <v>44911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Data</vt:lpstr>
      <vt:lpstr>Teammate Synergy</vt:lpstr>
      <vt:lpstr>Matchups</vt:lpstr>
      <vt:lpstr>Map_old</vt:lpstr>
      <vt:lpstr>Individual_old</vt:lpstr>
      <vt:lpstr>Individual Time</vt:lpstr>
      <vt:lpstr>Map</vt:lpstr>
      <vt:lpstr>Last Updated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Andy</dc:creator>
  <cp:lastModifiedBy>Lindsey</cp:lastModifiedBy>
  <dcterms:created xsi:type="dcterms:W3CDTF">2022-12-15T03:47:10Z</dcterms:created>
  <dcterms:modified xsi:type="dcterms:W3CDTF">2022-12-17T07:40:53Z</dcterms:modified>
</cp:coreProperties>
</file>