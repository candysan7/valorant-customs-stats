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w94\Downloads\valorant-customs-stats\valorant-customs-stats\"/>
    </mc:Choice>
  </mc:AlternateContent>
  <bookViews>
    <workbookView xWindow="0" yWindow="0" windowWidth="28800" windowHeight="12585" tabRatio="725" activeTab="2"/>
  </bookViews>
  <sheets>
    <sheet name="Data" sheetId="4" r:id="rId1"/>
    <sheet name="Player-Cards" sheetId="13" r:id="rId2"/>
    <sheet name="Individual" sheetId="1" r:id="rId3"/>
    <sheet name="Synergy-Matchup" sheetId="12" r:id="rId4"/>
    <sheet name="Map_old" sheetId="5" state="hidden" r:id="rId5"/>
    <sheet name="Individual Time" sheetId="7" r:id="rId6"/>
    <sheet name="Map" sheetId="9" r:id="rId7"/>
    <sheet name="Last Updated" sheetId="10" r:id="rId8"/>
  </sheets>
  <definedNames>
    <definedName name="_xlnm._FilterDatabase" localSheetId="0" hidden="1">Data!$A$248:$A$248</definedName>
    <definedName name="_xlnm._FilterDatabase" localSheetId="2" hidden="1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63" i="4" l="1"/>
  <c r="O383" i="4" s="1"/>
  <c r="V364" i="4"/>
  <c r="U384" i="4" s="1"/>
  <c r="V365" i="4"/>
  <c r="S385" i="4" s="1"/>
  <c r="V366" i="4"/>
  <c r="U386" i="4" s="1"/>
  <c r="V367" i="4"/>
  <c r="R387" i="4" s="1"/>
  <c r="V368" i="4"/>
  <c r="S388" i="4" s="1"/>
  <c r="V369" i="4"/>
  <c r="R389" i="4" s="1"/>
  <c r="V370" i="4"/>
  <c r="U390" i="4" s="1"/>
  <c r="V371" i="4"/>
  <c r="T391" i="4" s="1"/>
  <c r="V372" i="4"/>
  <c r="U392" i="4" s="1"/>
  <c r="V373" i="4"/>
  <c r="U393" i="4" s="1"/>
  <c r="V374" i="4"/>
  <c r="U394" i="4" s="1"/>
  <c r="V375" i="4"/>
  <c r="S395" i="4" s="1"/>
  <c r="V376" i="4"/>
  <c r="S396" i="4" s="1"/>
  <c r="V377" i="4"/>
  <c r="R397" i="4" s="1"/>
  <c r="V362" i="4"/>
  <c r="T382" i="4" s="1"/>
  <c r="M384" i="4"/>
  <c r="U383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22" i="4"/>
  <c r="E187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B169" i="4"/>
  <c r="R388" i="4" l="1"/>
  <c r="T388" i="4"/>
  <c r="O384" i="4"/>
  <c r="C384" i="4"/>
  <c r="E384" i="4"/>
  <c r="G384" i="4"/>
  <c r="K384" i="4"/>
  <c r="U382" i="4"/>
  <c r="B396" i="4"/>
  <c r="P396" i="4"/>
  <c r="E396" i="4"/>
  <c r="Q396" i="4"/>
  <c r="H396" i="4"/>
  <c r="F396" i="4"/>
  <c r="R396" i="4"/>
  <c r="J396" i="4"/>
  <c r="L396" i="4"/>
  <c r="M396" i="4"/>
  <c r="D396" i="4"/>
  <c r="I396" i="4"/>
  <c r="N396" i="4"/>
  <c r="T396" i="4"/>
  <c r="U396" i="4"/>
  <c r="N395" i="4"/>
  <c r="D395" i="4"/>
  <c r="T395" i="4"/>
  <c r="I395" i="4"/>
  <c r="E395" i="4"/>
  <c r="J395" i="4"/>
  <c r="P395" i="4"/>
  <c r="U395" i="4"/>
  <c r="F395" i="4"/>
  <c r="L395" i="4"/>
  <c r="Q395" i="4"/>
  <c r="B395" i="4"/>
  <c r="H395" i="4"/>
  <c r="M395" i="4"/>
  <c r="R395" i="4"/>
  <c r="N394" i="4"/>
  <c r="R394" i="4"/>
  <c r="J394" i="4"/>
  <c r="B394" i="4"/>
  <c r="F394" i="4"/>
  <c r="R393" i="4"/>
  <c r="B393" i="4"/>
  <c r="F393" i="4"/>
  <c r="J393" i="4"/>
  <c r="N393" i="4"/>
  <c r="E392" i="4"/>
  <c r="C392" i="4"/>
  <c r="M392" i="4"/>
  <c r="G392" i="4"/>
  <c r="J392" i="4"/>
  <c r="N392" i="4"/>
  <c r="B392" i="4"/>
  <c r="I392" i="4"/>
  <c r="O392" i="4"/>
  <c r="F392" i="4"/>
  <c r="K392" i="4"/>
  <c r="Q392" i="4"/>
  <c r="R392" i="4"/>
  <c r="S392" i="4"/>
  <c r="D392" i="4"/>
  <c r="H392" i="4"/>
  <c r="L392" i="4"/>
  <c r="P392" i="4"/>
  <c r="T392" i="4"/>
  <c r="U391" i="4"/>
  <c r="C391" i="4"/>
  <c r="E391" i="4"/>
  <c r="I391" i="4"/>
  <c r="M391" i="4"/>
  <c r="Q391" i="4"/>
  <c r="B391" i="4"/>
  <c r="F391" i="4"/>
  <c r="J391" i="4"/>
  <c r="N391" i="4"/>
  <c r="R391" i="4"/>
  <c r="G391" i="4"/>
  <c r="K391" i="4"/>
  <c r="O391" i="4"/>
  <c r="S391" i="4"/>
  <c r="D391" i="4"/>
  <c r="H391" i="4"/>
  <c r="L391" i="4"/>
  <c r="P391" i="4"/>
  <c r="F390" i="4"/>
  <c r="J390" i="4"/>
  <c r="N390" i="4"/>
  <c r="B390" i="4"/>
  <c r="R390" i="4"/>
  <c r="C389" i="4"/>
  <c r="O389" i="4"/>
  <c r="K389" i="4"/>
  <c r="S389" i="4"/>
  <c r="G389" i="4"/>
  <c r="B388" i="4"/>
  <c r="F388" i="4"/>
  <c r="H388" i="4"/>
  <c r="J388" i="4"/>
  <c r="D388" i="4"/>
  <c r="L388" i="4"/>
  <c r="N388" i="4"/>
  <c r="P388" i="4"/>
  <c r="E388" i="4"/>
  <c r="I388" i="4"/>
  <c r="M388" i="4"/>
  <c r="Q388" i="4"/>
  <c r="U388" i="4"/>
  <c r="C388" i="4"/>
  <c r="G388" i="4"/>
  <c r="K388" i="4"/>
  <c r="O388" i="4"/>
  <c r="G387" i="4"/>
  <c r="O387" i="4"/>
  <c r="I387" i="4"/>
  <c r="Q387" i="4"/>
  <c r="C387" i="4"/>
  <c r="K387" i="4"/>
  <c r="S387" i="4"/>
  <c r="E387" i="4"/>
  <c r="M387" i="4"/>
  <c r="D387" i="4"/>
  <c r="H387" i="4"/>
  <c r="L387" i="4"/>
  <c r="P387" i="4"/>
  <c r="T387" i="4"/>
  <c r="U387" i="4"/>
  <c r="B387" i="4"/>
  <c r="F387" i="4"/>
  <c r="J387" i="4"/>
  <c r="N387" i="4"/>
  <c r="N386" i="4"/>
  <c r="B386" i="4"/>
  <c r="R386" i="4"/>
  <c r="F386" i="4"/>
  <c r="J386" i="4"/>
  <c r="H385" i="4"/>
  <c r="T385" i="4"/>
  <c r="D385" i="4"/>
  <c r="L385" i="4"/>
  <c r="P385" i="4"/>
  <c r="I384" i="4"/>
  <c r="Q384" i="4"/>
  <c r="S384" i="4"/>
  <c r="B384" i="4"/>
  <c r="F384" i="4"/>
  <c r="J384" i="4"/>
  <c r="N384" i="4"/>
  <c r="R384" i="4"/>
  <c r="D384" i="4"/>
  <c r="H384" i="4"/>
  <c r="L384" i="4"/>
  <c r="P384" i="4"/>
  <c r="T384" i="4"/>
  <c r="D383" i="4"/>
  <c r="L383" i="4"/>
  <c r="H383" i="4"/>
  <c r="Q383" i="4"/>
  <c r="E383" i="4"/>
  <c r="M383" i="4"/>
  <c r="I383" i="4"/>
  <c r="R383" i="4"/>
  <c r="B383" i="4"/>
  <c r="F383" i="4"/>
  <c r="J383" i="4"/>
  <c r="N383" i="4"/>
  <c r="S383" i="4"/>
  <c r="C383" i="4"/>
  <c r="G383" i="4"/>
  <c r="K383" i="4"/>
  <c r="P383" i="4"/>
  <c r="T383" i="4"/>
  <c r="E382" i="4"/>
  <c r="L382" i="4"/>
  <c r="G382" i="4"/>
  <c r="M382" i="4"/>
  <c r="C382" i="4"/>
  <c r="H382" i="4"/>
  <c r="P382" i="4"/>
  <c r="D382" i="4"/>
  <c r="I382" i="4"/>
  <c r="Q382" i="4"/>
  <c r="B382" i="4"/>
  <c r="F382" i="4"/>
  <c r="J382" i="4"/>
  <c r="N382" i="4"/>
  <c r="R382" i="4"/>
  <c r="K382" i="4"/>
  <c r="O382" i="4"/>
  <c r="S382" i="4"/>
  <c r="C397" i="4"/>
  <c r="G397" i="4"/>
  <c r="K397" i="4"/>
  <c r="O397" i="4"/>
  <c r="S397" i="4"/>
  <c r="E385" i="4"/>
  <c r="I385" i="4"/>
  <c r="M385" i="4"/>
  <c r="Q385" i="4"/>
  <c r="U385" i="4"/>
  <c r="D389" i="4"/>
  <c r="H389" i="4"/>
  <c r="L389" i="4"/>
  <c r="P389" i="4"/>
  <c r="T389" i="4"/>
  <c r="C393" i="4"/>
  <c r="G393" i="4"/>
  <c r="K393" i="4"/>
  <c r="O393" i="4"/>
  <c r="S393" i="4"/>
  <c r="D397" i="4"/>
  <c r="H397" i="4"/>
  <c r="L397" i="4"/>
  <c r="P397" i="4"/>
  <c r="T397" i="4"/>
  <c r="B385" i="4"/>
  <c r="F385" i="4"/>
  <c r="J385" i="4"/>
  <c r="N385" i="4"/>
  <c r="R385" i="4"/>
  <c r="E389" i="4"/>
  <c r="I389" i="4"/>
  <c r="M389" i="4"/>
  <c r="Q389" i="4"/>
  <c r="U389" i="4"/>
  <c r="D393" i="4"/>
  <c r="H393" i="4"/>
  <c r="L393" i="4"/>
  <c r="P393" i="4"/>
  <c r="T393" i="4"/>
  <c r="E397" i="4"/>
  <c r="I397" i="4"/>
  <c r="M397" i="4"/>
  <c r="Q397" i="4"/>
  <c r="U397" i="4"/>
  <c r="C385" i="4"/>
  <c r="G385" i="4"/>
  <c r="K385" i="4"/>
  <c r="O385" i="4"/>
  <c r="B389" i="4"/>
  <c r="F389" i="4"/>
  <c r="J389" i="4"/>
  <c r="N389" i="4"/>
  <c r="E393" i="4"/>
  <c r="I393" i="4"/>
  <c r="M393" i="4"/>
  <c r="Q393" i="4"/>
  <c r="B397" i="4"/>
  <c r="F397" i="4"/>
  <c r="J397" i="4"/>
  <c r="N397" i="4"/>
  <c r="C386" i="4"/>
  <c r="G386" i="4"/>
  <c r="K386" i="4"/>
  <c r="O386" i="4"/>
  <c r="S386" i="4"/>
  <c r="C390" i="4"/>
  <c r="G390" i="4"/>
  <c r="K390" i="4"/>
  <c r="O390" i="4"/>
  <c r="S390" i="4"/>
  <c r="C394" i="4"/>
  <c r="G394" i="4"/>
  <c r="K394" i="4"/>
  <c r="O394" i="4"/>
  <c r="S394" i="4"/>
  <c r="C395" i="4"/>
  <c r="G395" i="4"/>
  <c r="K395" i="4"/>
  <c r="O395" i="4"/>
  <c r="C396" i="4"/>
  <c r="G396" i="4"/>
  <c r="K396" i="4"/>
  <c r="O396" i="4"/>
  <c r="D386" i="4"/>
  <c r="H386" i="4"/>
  <c r="L386" i="4"/>
  <c r="P386" i="4"/>
  <c r="T386" i="4"/>
  <c r="D390" i="4"/>
  <c r="H390" i="4"/>
  <c r="L390" i="4"/>
  <c r="P390" i="4"/>
  <c r="T390" i="4"/>
  <c r="D394" i="4"/>
  <c r="H394" i="4"/>
  <c r="L394" i="4"/>
  <c r="P394" i="4"/>
  <c r="T394" i="4"/>
  <c r="E386" i="4"/>
  <c r="I386" i="4"/>
  <c r="M386" i="4"/>
  <c r="Q386" i="4"/>
  <c r="E390" i="4"/>
  <c r="I390" i="4"/>
  <c r="M390" i="4"/>
  <c r="Q390" i="4"/>
  <c r="E394" i="4"/>
  <c r="I394" i="4"/>
  <c r="M394" i="4"/>
  <c r="Q394" i="4"/>
  <c r="U398" i="4" l="1"/>
  <c r="J398" i="4"/>
  <c r="R398" i="4"/>
  <c r="H398" i="4"/>
  <c r="E398" i="4"/>
  <c r="G398" i="4"/>
  <c r="B398" i="4"/>
  <c r="Q398" i="4"/>
  <c r="P398" i="4"/>
  <c r="N398" i="4"/>
  <c r="F398" i="4"/>
  <c r="T398" i="4"/>
  <c r="D398" i="4"/>
  <c r="S398" i="4"/>
  <c r="C398" i="4"/>
  <c r="M398" i="4"/>
  <c r="I398" i="4"/>
  <c r="L398" i="4"/>
  <c r="O398" i="4"/>
  <c r="K398" i="4"/>
  <c r="Q103" i="4"/>
  <c r="P103" i="4"/>
  <c r="O103" i="4"/>
  <c r="N103" i="4"/>
  <c r="M103" i="4"/>
  <c r="L103" i="4"/>
  <c r="K103" i="4"/>
  <c r="J103" i="4"/>
  <c r="I103" i="4"/>
  <c r="I123" i="4" s="1"/>
  <c r="H103" i="4"/>
  <c r="H123" i="4" s="1"/>
  <c r="G103" i="4"/>
  <c r="G123" i="4" s="1"/>
  <c r="F103" i="4"/>
  <c r="F123" i="4" s="1"/>
  <c r="E103" i="4"/>
  <c r="D103" i="4"/>
  <c r="C103" i="4"/>
  <c r="B103" i="4"/>
  <c r="Q102" i="4"/>
  <c r="P102" i="4"/>
  <c r="O102" i="4"/>
  <c r="N102" i="4"/>
  <c r="M102" i="4"/>
  <c r="M122" i="4" s="1"/>
  <c r="L102" i="4"/>
  <c r="L122" i="4" s="1"/>
  <c r="K102" i="4"/>
  <c r="K122" i="4" s="1"/>
  <c r="J102" i="4"/>
  <c r="J122" i="4" s="1"/>
  <c r="I102" i="4"/>
  <c r="H102" i="4"/>
  <c r="G102" i="4"/>
  <c r="F102" i="4"/>
  <c r="E102" i="4"/>
  <c r="D102" i="4"/>
  <c r="C102" i="4"/>
  <c r="B102" i="4"/>
  <c r="Q101" i="4"/>
  <c r="Q121" i="4" s="1"/>
  <c r="P101" i="4"/>
  <c r="P121" i="4" s="1"/>
  <c r="O101" i="4"/>
  <c r="O121" i="4" s="1"/>
  <c r="N101" i="4"/>
  <c r="N121" i="4" s="1"/>
  <c r="M101" i="4"/>
  <c r="L101" i="4"/>
  <c r="K101" i="4"/>
  <c r="J101" i="4"/>
  <c r="I101" i="4"/>
  <c r="H101" i="4"/>
  <c r="G101" i="4"/>
  <c r="F101" i="4"/>
  <c r="E101" i="4"/>
  <c r="E121" i="4" s="1"/>
  <c r="D101" i="4"/>
  <c r="D121" i="4" s="1"/>
  <c r="C101" i="4"/>
  <c r="C121" i="4" s="1"/>
  <c r="B101" i="4"/>
  <c r="B121" i="4" s="1"/>
  <c r="Q100" i="4"/>
  <c r="P100" i="4"/>
  <c r="O100" i="4"/>
  <c r="N100" i="4"/>
  <c r="M100" i="4"/>
  <c r="L100" i="4"/>
  <c r="K100" i="4"/>
  <c r="J100" i="4"/>
  <c r="I100" i="4"/>
  <c r="I120" i="4" s="1"/>
  <c r="H100" i="4"/>
  <c r="H120" i="4" s="1"/>
  <c r="G100" i="4"/>
  <c r="G120" i="4" s="1"/>
  <c r="F100" i="4"/>
  <c r="F120" i="4" s="1"/>
  <c r="E100" i="4"/>
  <c r="D100" i="4"/>
  <c r="C100" i="4"/>
  <c r="B100" i="4"/>
  <c r="Q99" i="4"/>
  <c r="P99" i="4"/>
  <c r="O99" i="4"/>
  <c r="N99" i="4"/>
  <c r="M99" i="4"/>
  <c r="M119" i="4" s="1"/>
  <c r="L99" i="4"/>
  <c r="L119" i="4" s="1"/>
  <c r="K99" i="4"/>
  <c r="K119" i="4" s="1"/>
  <c r="J99" i="4"/>
  <c r="J119" i="4" s="1"/>
  <c r="I99" i="4"/>
  <c r="H99" i="4"/>
  <c r="G99" i="4"/>
  <c r="F99" i="4"/>
  <c r="E99" i="4"/>
  <c r="D99" i="4"/>
  <c r="C99" i="4"/>
  <c r="B99" i="4"/>
  <c r="Q98" i="4"/>
  <c r="Q118" i="4" s="1"/>
  <c r="P98" i="4"/>
  <c r="P118" i="4" s="1"/>
  <c r="O98" i="4"/>
  <c r="O118" i="4" s="1"/>
  <c r="N98" i="4"/>
  <c r="N118" i="4" s="1"/>
  <c r="M98" i="4"/>
  <c r="L98" i="4"/>
  <c r="K98" i="4"/>
  <c r="J98" i="4"/>
  <c r="I98" i="4"/>
  <c r="H98" i="4"/>
  <c r="G98" i="4"/>
  <c r="F98" i="4"/>
  <c r="E98" i="4"/>
  <c r="E118" i="4" s="1"/>
  <c r="D98" i="4"/>
  <c r="D118" i="4" s="1"/>
  <c r="C98" i="4"/>
  <c r="C118" i="4" s="1"/>
  <c r="B98" i="4"/>
  <c r="B118" i="4" s="1"/>
  <c r="Q97" i="4"/>
  <c r="P97" i="4"/>
  <c r="O97" i="4"/>
  <c r="N97" i="4"/>
  <c r="M97" i="4"/>
  <c r="L97" i="4"/>
  <c r="K97" i="4"/>
  <c r="J97" i="4"/>
  <c r="I97" i="4"/>
  <c r="I117" i="4" s="1"/>
  <c r="H97" i="4"/>
  <c r="H117" i="4" s="1"/>
  <c r="G97" i="4"/>
  <c r="G117" i="4" s="1"/>
  <c r="F97" i="4"/>
  <c r="F117" i="4" s="1"/>
  <c r="E97" i="4"/>
  <c r="D97" i="4"/>
  <c r="C97" i="4"/>
  <c r="B97" i="4"/>
  <c r="Q96" i="4"/>
  <c r="P96" i="4"/>
  <c r="O96" i="4"/>
  <c r="N96" i="4"/>
  <c r="M96" i="4"/>
  <c r="M116" i="4" s="1"/>
  <c r="L96" i="4"/>
  <c r="L116" i="4" s="1"/>
  <c r="K96" i="4"/>
  <c r="K116" i="4" s="1"/>
  <c r="J96" i="4"/>
  <c r="J116" i="4" s="1"/>
  <c r="I96" i="4"/>
  <c r="H96" i="4"/>
  <c r="G96" i="4"/>
  <c r="F96" i="4"/>
  <c r="E96" i="4"/>
  <c r="D96" i="4"/>
  <c r="C96" i="4"/>
  <c r="B96" i="4"/>
  <c r="Q95" i="4"/>
  <c r="Q115" i="4" s="1"/>
  <c r="P95" i="4"/>
  <c r="P115" i="4" s="1"/>
  <c r="O95" i="4"/>
  <c r="O115" i="4" s="1"/>
  <c r="N95" i="4"/>
  <c r="N115" i="4" s="1"/>
  <c r="M95" i="4"/>
  <c r="L95" i="4"/>
  <c r="K95" i="4"/>
  <c r="J95" i="4"/>
  <c r="I95" i="4"/>
  <c r="H95" i="4"/>
  <c r="G95" i="4"/>
  <c r="F95" i="4"/>
  <c r="E95" i="4"/>
  <c r="E115" i="4" s="1"/>
  <c r="D95" i="4"/>
  <c r="D115" i="4" s="1"/>
  <c r="C95" i="4"/>
  <c r="C115" i="4" s="1"/>
  <c r="B95" i="4"/>
  <c r="B115" i="4" s="1"/>
  <c r="Q94" i="4"/>
  <c r="P94" i="4"/>
  <c r="O94" i="4"/>
  <c r="N94" i="4"/>
  <c r="M94" i="4"/>
  <c r="L94" i="4"/>
  <c r="K94" i="4"/>
  <c r="J94" i="4"/>
  <c r="I94" i="4"/>
  <c r="I114" i="4" s="1"/>
  <c r="H94" i="4"/>
  <c r="H114" i="4" s="1"/>
  <c r="G94" i="4"/>
  <c r="G114" i="4" s="1"/>
  <c r="F94" i="4"/>
  <c r="F114" i="4" s="1"/>
  <c r="E94" i="4"/>
  <c r="D94" i="4"/>
  <c r="C94" i="4"/>
  <c r="B94" i="4"/>
  <c r="Q93" i="4"/>
  <c r="P93" i="4"/>
  <c r="O93" i="4"/>
  <c r="N93" i="4"/>
  <c r="M93" i="4"/>
  <c r="M113" i="4" s="1"/>
  <c r="L93" i="4"/>
  <c r="L113" i="4" s="1"/>
  <c r="K93" i="4"/>
  <c r="K113" i="4" s="1"/>
  <c r="J93" i="4"/>
  <c r="J113" i="4" s="1"/>
  <c r="I93" i="4"/>
  <c r="H93" i="4"/>
  <c r="G93" i="4"/>
  <c r="F93" i="4"/>
  <c r="E93" i="4"/>
  <c r="D93" i="4"/>
  <c r="C93" i="4"/>
  <c r="B93" i="4"/>
  <c r="Q92" i="4"/>
  <c r="Q112" i="4" s="1"/>
  <c r="P92" i="4"/>
  <c r="P112" i="4" s="1"/>
  <c r="O92" i="4"/>
  <c r="O112" i="4" s="1"/>
  <c r="N92" i="4"/>
  <c r="N112" i="4" s="1"/>
  <c r="M92" i="4"/>
  <c r="L92" i="4"/>
  <c r="K92" i="4"/>
  <c r="J92" i="4"/>
  <c r="I92" i="4"/>
  <c r="H92" i="4"/>
  <c r="G92" i="4"/>
  <c r="F92" i="4"/>
  <c r="E92" i="4"/>
  <c r="E112" i="4" s="1"/>
  <c r="D92" i="4"/>
  <c r="D112" i="4" s="1"/>
  <c r="C92" i="4"/>
  <c r="C112" i="4" s="1"/>
  <c r="B92" i="4"/>
  <c r="B112" i="4" s="1"/>
  <c r="Q91" i="4"/>
  <c r="P91" i="4"/>
  <c r="O91" i="4"/>
  <c r="N91" i="4"/>
  <c r="M91" i="4"/>
  <c r="L91" i="4"/>
  <c r="K91" i="4"/>
  <c r="J91" i="4"/>
  <c r="I91" i="4"/>
  <c r="I111" i="4" s="1"/>
  <c r="H91" i="4"/>
  <c r="H111" i="4" s="1"/>
  <c r="G91" i="4"/>
  <c r="G111" i="4" s="1"/>
  <c r="F91" i="4"/>
  <c r="F111" i="4" s="1"/>
  <c r="E91" i="4"/>
  <c r="D91" i="4"/>
  <c r="C91" i="4"/>
  <c r="B91" i="4"/>
  <c r="Q90" i="4"/>
  <c r="P90" i="4"/>
  <c r="O90" i="4"/>
  <c r="N90" i="4"/>
  <c r="M90" i="4"/>
  <c r="M110" i="4" s="1"/>
  <c r="L90" i="4"/>
  <c r="L110" i="4" s="1"/>
  <c r="K90" i="4"/>
  <c r="K110" i="4" s="1"/>
  <c r="J90" i="4"/>
  <c r="J110" i="4" s="1"/>
  <c r="I90" i="4"/>
  <c r="H90" i="4"/>
  <c r="G90" i="4"/>
  <c r="F90" i="4"/>
  <c r="E90" i="4"/>
  <c r="D90" i="4"/>
  <c r="C90" i="4"/>
  <c r="B90" i="4"/>
  <c r="Q89" i="4"/>
  <c r="Q109" i="4" s="1"/>
  <c r="P89" i="4"/>
  <c r="P109" i="4" s="1"/>
  <c r="O89" i="4"/>
  <c r="O109" i="4" s="1"/>
  <c r="N89" i="4"/>
  <c r="N109" i="4" s="1"/>
  <c r="M89" i="4"/>
  <c r="L89" i="4"/>
  <c r="K89" i="4"/>
  <c r="J89" i="4"/>
  <c r="I89" i="4"/>
  <c r="H89" i="4"/>
  <c r="G89" i="4"/>
  <c r="F89" i="4"/>
  <c r="E89" i="4"/>
  <c r="E109" i="4" s="1"/>
  <c r="D89" i="4"/>
  <c r="D109" i="4" s="1"/>
  <c r="C89" i="4"/>
  <c r="C109" i="4" s="1"/>
  <c r="B89" i="4"/>
  <c r="B109" i="4" s="1"/>
  <c r="Q88" i="4"/>
  <c r="P88" i="4"/>
  <c r="O88" i="4"/>
  <c r="N88" i="4"/>
  <c r="M88" i="4"/>
  <c r="L88" i="4"/>
  <c r="K88" i="4"/>
  <c r="J88" i="4"/>
  <c r="I88" i="4"/>
  <c r="I108" i="4" s="1"/>
  <c r="H88" i="4"/>
  <c r="H108" i="4" s="1"/>
  <c r="G88" i="4"/>
  <c r="G108" i="4" s="1"/>
  <c r="F88" i="4"/>
  <c r="F108" i="4" s="1"/>
  <c r="E88" i="4"/>
  <c r="D88" i="4"/>
  <c r="C88" i="4"/>
  <c r="B88" i="4"/>
  <c r="C122" i="4" l="1"/>
  <c r="C113" i="4"/>
  <c r="L123" i="4"/>
  <c r="P110" i="4"/>
  <c r="O110" i="4"/>
  <c r="L108" i="4"/>
  <c r="K108" i="4"/>
  <c r="D122" i="4"/>
  <c r="D113" i="4"/>
  <c r="P119" i="4"/>
  <c r="O119" i="4"/>
  <c r="L117" i="4"/>
  <c r="K117" i="4"/>
  <c r="H121" i="4"/>
  <c r="H115" i="4"/>
  <c r="G115" i="4"/>
  <c r="D119" i="4"/>
  <c r="M108" i="4"/>
  <c r="Q110" i="4"/>
  <c r="E113" i="4"/>
  <c r="I115" i="4"/>
  <c r="M117" i="4"/>
  <c r="Q119" i="4"/>
  <c r="E122" i="4"/>
  <c r="F109" i="4"/>
  <c r="J111" i="4"/>
  <c r="N113" i="4"/>
  <c r="B116" i="4"/>
  <c r="F118" i="4"/>
  <c r="J120" i="4"/>
  <c r="N122" i="4"/>
  <c r="G109" i="4"/>
  <c r="K111" i="4"/>
  <c r="O113" i="4"/>
  <c r="C116" i="4"/>
  <c r="G118" i="4"/>
  <c r="K120" i="4"/>
  <c r="O122" i="4"/>
  <c r="H109" i="4"/>
  <c r="L111" i="4"/>
  <c r="P113" i="4"/>
  <c r="D116" i="4"/>
  <c r="H118" i="4"/>
  <c r="L120" i="4"/>
  <c r="P122" i="4"/>
  <c r="I109" i="4"/>
  <c r="M111" i="4"/>
  <c r="Q113" i="4"/>
  <c r="E116" i="4"/>
  <c r="I118" i="4"/>
  <c r="M120" i="4"/>
  <c r="Q122" i="4"/>
  <c r="B110" i="4"/>
  <c r="F112" i="4"/>
  <c r="J114" i="4"/>
  <c r="N116" i="4"/>
  <c r="B119" i="4"/>
  <c r="F121" i="4"/>
  <c r="J123" i="4"/>
  <c r="C110" i="4"/>
  <c r="G112" i="4"/>
  <c r="K114" i="4"/>
  <c r="O116" i="4"/>
  <c r="C119" i="4"/>
  <c r="G121" i="4"/>
  <c r="K123" i="4"/>
  <c r="D110" i="4"/>
  <c r="H112" i="4"/>
  <c r="L114" i="4"/>
  <c r="P116" i="4"/>
  <c r="E110" i="4"/>
  <c r="I112" i="4"/>
  <c r="M114" i="4"/>
  <c r="Q116" i="4"/>
  <c r="E119" i="4"/>
  <c r="I121" i="4"/>
  <c r="M123" i="4"/>
  <c r="J108" i="4"/>
  <c r="N110" i="4"/>
  <c r="B113" i="4"/>
  <c r="F115" i="4"/>
  <c r="J117" i="4"/>
  <c r="N119" i="4"/>
  <c r="B122" i="4"/>
  <c r="B108" i="4"/>
  <c r="N108" i="4"/>
  <c r="J109" i="4"/>
  <c r="F110" i="4"/>
  <c r="B111" i="4"/>
  <c r="N111" i="4"/>
  <c r="J112" i="4"/>
  <c r="F113" i="4"/>
  <c r="B114" i="4"/>
  <c r="N114" i="4"/>
  <c r="J115" i="4"/>
  <c r="F116" i="4"/>
  <c r="B117" i="4"/>
  <c r="N117" i="4"/>
  <c r="J118" i="4"/>
  <c r="F119" i="4"/>
  <c r="B120" i="4"/>
  <c r="N120" i="4"/>
  <c r="J121" i="4"/>
  <c r="F122" i="4"/>
  <c r="B123" i="4"/>
  <c r="N123" i="4"/>
  <c r="C108" i="4"/>
  <c r="O108" i="4"/>
  <c r="K109" i="4"/>
  <c r="G110" i="4"/>
  <c r="C111" i="4"/>
  <c r="O111" i="4"/>
  <c r="K112" i="4"/>
  <c r="G113" i="4"/>
  <c r="C114" i="4"/>
  <c r="O114" i="4"/>
  <c r="K115" i="4"/>
  <c r="G116" i="4"/>
  <c r="C117" i="4"/>
  <c r="O117" i="4"/>
  <c r="K118" i="4"/>
  <c r="G119" i="4"/>
  <c r="C120" i="4"/>
  <c r="O120" i="4"/>
  <c r="K121" i="4"/>
  <c r="G122" i="4"/>
  <c r="C123" i="4"/>
  <c r="O123" i="4"/>
  <c r="D108" i="4"/>
  <c r="P108" i="4"/>
  <c r="L109" i="4"/>
  <c r="H110" i="4"/>
  <c r="D111" i="4"/>
  <c r="P111" i="4"/>
  <c r="L112" i="4"/>
  <c r="H113" i="4"/>
  <c r="D114" i="4"/>
  <c r="P114" i="4"/>
  <c r="L115" i="4"/>
  <c r="H116" i="4"/>
  <c r="D117" i="4"/>
  <c r="P117" i="4"/>
  <c r="L118" i="4"/>
  <c r="H119" i="4"/>
  <c r="D120" i="4"/>
  <c r="P120" i="4"/>
  <c r="L121" i="4"/>
  <c r="H122" i="4"/>
  <c r="D123" i="4"/>
  <c r="P123" i="4"/>
  <c r="E108" i="4"/>
  <c r="Q108" i="4"/>
  <c r="M109" i="4"/>
  <c r="I110" i="4"/>
  <c r="E111" i="4"/>
  <c r="Q111" i="4"/>
  <c r="M112" i="4"/>
  <c r="I113" i="4"/>
  <c r="E114" i="4"/>
  <c r="Q114" i="4"/>
  <c r="M115" i="4"/>
  <c r="I116" i="4"/>
  <c r="E117" i="4"/>
  <c r="Q117" i="4"/>
  <c r="M118" i="4"/>
  <c r="I119" i="4"/>
  <c r="E120" i="4"/>
  <c r="Q120" i="4"/>
  <c r="M121" i="4"/>
  <c r="I122" i="4"/>
  <c r="E123" i="4"/>
  <c r="Q123" i="4"/>
</calcChain>
</file>

<file path=xl/sharedStrings.xml><?xml version="1.0" encoding="utf-8"?>
<sst xmlns="http://schemas.openxmlformats.org/spreadsheetml/2006/main" count="3203" uniqueCount="207">
  <si>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</si>
  <si>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</si>
  <si>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</si>
  <si>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</si>
  <si>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</si>
  <si>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</si>
  <si>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</si>
  <si>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</si>
  <si>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</si>
  <si>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</si>
  <si>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</si>
  <si>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</si>
  <si>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</si>
  <si>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</si>
  <si>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</si>
  <si>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</si>
  <si>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</si>
  <si>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</si>
  <si>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</si>
  <si>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</si>
  <si>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</si>
  <si>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</si>
  <si>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</si>
  <si>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</si>
  <si>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</si>
  <si>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</si>
  <si>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</si>
  <si>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</si>
  <si>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>Win Rate</t>
  </si>
  <si>
    <t/>
  </si>
  <si>
    <t>Total Wins</t>
  </si>
  <si>
    <t>Total Games</t>
  </si>
  <si>
    <t>Count</t>
  </si>
  <si>
    <t>RAW DATA</t>
  </si>
  <si>
    <t>Percentage</t>
  </si>
  <si>
    <t>Won</t>
  </si>
  <si>
    <t>INDIV PERFORMANCE</t>
  </si>
  <si>
    <t>Win %</t>
  </si>
  <si>
    <t>Winning Team</t>
  </si>
  <si>
    <t>Losing Team</t>
  </si>
  <si>
    <t>PRESS ME:</t>
  </si>
  <si>
    <t>Today</t>
  </si>
  <si>
    <t>Period Start Date</t>
  </si>
  <si>
    <t>Total Wins up to Period</t>
  </si>
  <si>
    <t>Total Games up to Period</t>
  </si>
  <si>
    <t>INDIV WIN BY MAP - WIN %</t>
  </si>
  <si>
    <t>Counter</t>
  </si>
  <si>
    <t>Player Games Won</t>
  </si>
  <si>
    <t>Player Games Played</t>
  </si>
  <si>
    <t>NOT UPDATED BY MACRO ANYMORE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</si>
  <si>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</si>
  <si>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</si>
  <si>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</si>
  <si>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</si>
  <si>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</si>
  <si>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</si>
  <si>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</si>
  <si>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</si>
  <si>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</si>
  <si>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</si>
  <si>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</si>
  <si>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</si>
  <si>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</si>
  <si>
    <t>Name</t>
  </si>
  <si>
    <t>Andy</t>
  </si>
  <si>
    <t>Brandon</t>
  </si>
  <si>
    <t>Brian</t>
  </si>
  <si>
    <t>Cade</t>
  </si>
  <si>
    <t>Darwin</t>
  </si>
  <si>
    <t>Josh</t>
  </si>
  <si>
    <t>Lindsey</t>
  </si>
  <si>
    <t>Sequential</t>
  </si>
  <si>
    <t>Sophie</t>
  </si>
  <si>
    <t>Steve</t>
  </si>
  <si>
    <t>Steven</t>
  </si>
  <si>
    <t>Sun</t>
  </si>
  <si>
    <t>Susi</t>
  </si>
  <si>
    <t>Susu</t>
  </si>
  <si>
    <t>Tang</t>
  </si>
  <si>
    <t>Yang</t>
  </si>
  <si>
    <t>Valorant IGN</t>
  </si>
  <si>
    <t>Candysan</t>
  </si>
  <si>
    <t>BigBoiB</t>
  </si>
  <si>
    <t>brianwoohoo</t>
  </si>
  <si>
    <t>RhythmKing</t>
  </si>
  <si>
    <t>ChzGorditaCrunch</t>
  </si>
  <si>
    <t>bot001341</t>
  </si>
  <si>
    <t>aylindsay</t>
  </si>
  <si>
    <t>chushberry</t>
  </si>
  <si>
    <t>Selintt</t>
  </si>
  <si>
    <t>youngsmasher</t>
  </si>
  <si>
    <t>SusTwins</t>
  </si>
  <si>
    <t>danielscutiegf</t>
  </si>
  <si>
    <t>Tyblerone</t>
  </si>
  <si>
    <t>tangy</t>
  </si>
  <si>
    <t>Controller</t>
  </si>
  <si>
    <t>Sentinel</t>
  </si>
  <si>
    <t>Duelist</t>
  </si>
  <si>
    <t>Initiator/Controller</t>
  </si>
  <si>
    <t>Initiator/Sentinel</t>
  </si>
  <si>
    <t>Initiator</t>
  </si>
  <si>
    <t>Top Agents</t>
  </si>
  <si>
    <t>Discord Pic</t>
  </si>
  <si>
    <t xml:space="preserve"> Role</t>
  </si>
  <si>
    <t xml:space="preserve">  Num Custom Games</t>
  </si>
  <si>
    <t>https://i.ibb.co/c2S6nRZ/disc-pic-cade-circle-250.png</t>
  </si>
  <si>
    <t>https://i.ibb.co/nR7WYQV/disc-pic-josh-circle-250.png</t>
  </si>
  <si>
    <t>https://i.ibb.co/x5xzfYQ/disc-pic-andy-circle-250-v2.png</t>
  </si>
  <si>
    <t>Duelist/Sentinel</t>
  </si>
  <si>
    <t>Top Agent Pic</t>
  </si>
  <si>
    <t>https://i.ibb.co/tpFTDZP/agent-astra.png</t>
  </si>
  <si>
    <t>https://i.ibb.co/RCygQtF/agent-brimstone.png</t>
  </si>
  <si>
    <t>https://i.ibb.co/47jc4bW/agent-cypher.png</t>
  </si>
  <si>
    <t>https://i.ibb.co/cQWBVhF/agent-harbor.png</t>
  </si>
  <si>
    <t>https://i.ibb.co/jV79G9x/agent-jett.png</t>
  </si>
  <si>
    <t>https://i.ibb.co/sVZBy9y/agent-killjoy.png</t>
  </si>
  <si>
    <t>https://i.ibb.co/gyF9RPn/agent-omen.png</t>
  </si>
  <si>
    <t>https://i.ibb.co/jr62DmS/agent-phoenix.png</t>
  </si>
  <si>
    <t>https://i.ibb.co/m84byGB/agent-raze.png</t>
  </si>
  <si>
    <t>https://i.ibb.co/Q99BLjb/agent-reyna.png</t>
  </si>
  <si>
    <t>https://i.ibb.co/3Bjc4Ff/agent-sage.png</t>
  </si>
  <si>
    <t>https://i.ibb.co/YWDbNSd/agent-skye.png</t>
  </si>
  <si>
    <t>https://i.ibb.co/7nhNYq3/agent-sova.png</t>
  </si>
  <si>
    <t>https://i.ibb.co/fQWhXhv/disc-pic-brandon-circle-250.png</t>
  </si>
  <si>
    <t>https://i.ibb.co/tsZ7h2m/disc-pic-brian-circle-250.png</t>
  </si>
  <si>
    <t>https://i.ibb.co/ZYJx2pj/disc-pic-lindsey-circle-250-v2.png</t>
  </si>
  <si>
    <t>https://i.ibb.co/Mp7kmDR/disc-pic-sequential-circle-250.png</t>
  </si>
  <si>
    <t>https://i.ibb.co/qF5gcKh/disc-pic-sophie-circle-250.png</t>
  </si>
  <si>
    <t>https://i.ibb.co/C5kh1Gb/disc-pic-steven-cricle-250.png</t>
  </si>
  <si>
    <t>https://i.ibb.co/MPgJ9cs/disc-pic-sun-circle-250.png</t>
  </si>
  <si>
    <t>https://i.ibb.co/GCSsLK7/disc-pic-tang-circle-250.png</t>
  </si>
  <si>
    <t>https://i.ibb.co/kxFc1ng/disc-pic-yang-circle-250.png</t>
  </si>
  <si>
    <t>https://i.ibb.co/WHfXKfS/disc-pic-darwin-circle-250-v2.png</t>
  </si>
  <si>
    <t>https://i.ibb.co/0MjK5mG/disc-pic-steve-circle-250.png</t>
  </si>
  <si>
    <t>https://i.ibb.co/k659mZS/disc-pic-susi-circle-250.png</t>
  </si>
  <si>
    <t>https://i.ibb.co/9r0s0Kp/disc-pic-susu-circle-250.png</t>
  </si>
  <si>
    <t>Second Agent Pic</t>
  </si>
  <si>
    <t>Third Agent Pic</t>
  </si>
  <si>
    <t>https://i.ibb.co/HpQ9nmj/agent-fade.png</t>
  </si>
  <si>
    <t>https://i.ibb.co/kX8npRV/agent-neon.png</t>
  </si>
  <si>
    <t>https://i.ibb.co/wwW5pw9/agent-chamber.png</t>
  </si>
  <si>
    <t>https://i.ibb.co/fC5Kcq1/agent-yoru.png</t>
  </si>
  <si>
    <t>https://i.ibb.co/Kxd71pz/agent-viper.png</t>
  </si>
  <si>
    <t>Navigation Bar</t>
  </si>
  <si>
    <t>https://i.ibb.co/8myg0gB/nav-bar-andy.png</t>
  </si>
  <si>
    <t>https://i.ibb.co/6XBnvd1/nav-bar-brandon.png</t>
  </si>
  <si>
    <t>https://i.ibb.co/rvfPwVh/nav-bar-brian.png</t>
  </si>
  <si>
    <t>https://i.ibb.co/McgQbD1/nav-bar-cade.png</t>
  </si>
  <si>
    <t>https://i.ibb.co/cC2CbSP/nav-bar-darwin.png</t>
  </si>
  <si>
    <t>https://i.ibb.co/FXbthxc/nav-bar-josh.png</t>
  </si>
  <si>
    <t>https://i.ibb.co/Dk5bF1X/nav-bar-lindsey.png</t>
  </si>
  <si>
    <t>https://i.ibb.co/BPXX53M/nav-bar-sequential.png</t>
  </si>
  <si>
    <t>https://i.ibb.co/gtF2mtL/nav-bar-sophie.png</t>
  </si>
  <si>
    <t>https://i.ibb.co/QmJQL2Y/nav-bar-steve.png</t>
  </si>
  <si>
    <t>https://i.ibb.co/zbNYQc7/nav-bar-steven.png</t>
  </si>
  <si>
    <t>https://i.ibb.co/ScSGcQD/nav-bar-sun.png</t>
  </si>
  <si>
    <t>https://i.ibb.co/6HGk2jQ/nav-bar-susi.png</t>
  </si>
  <si>
    <t>https://i.ibb.co/zhbgwk8/nav-bar-susu.png</t>
  </si>
  <si>
    <t>https://i.ibb.co/ysC53Cs/nav-bar-tang.png</t>
  </si>
  <si>
    <t>https://i.ibb.co/mq5H1PC/nav-bar-yang.png</t>
  </si>
  <si>
    <t>Duelist/Controller</t>
  </si>
  <si>
    <t>Winning Comp</t>
  </si>
  <si>
    <t>brimstone</t>
  </si>
  <si>
    <t>chamber</t>
  </si>
  <si>
    <t>omen</t>
  </si>
  <si>
    <t>reyna</t>
  </si>
  <si>
    <t>breach</t>
  </si>
  <si>
    <t>astra</t>
  </si>
  <si>
    <t>raze</t>
  </si>
  <si>
    <t>neon</t>
  </si>
  <si>
    <t>viper</t>
  </si>
  <si>
    <t>phoenix</t>
  </si>
  <si>
    <t>sage</t>
  </si>
  <si>
    <t>sova</t>
  </si>
  <si>
    <t>yoru</t>
  </si>
  <si>
    <t>fade</t>
  </si>
  <si>
    <t>jett</t>
  </si>
  <si>
    <t>harbor</t>
  </si>
  <si>
    <t>kayo</t>
  </si>
  <si>
    <t>cypher</t>
  </si>
  <si>
    <t>killjoy</t>
  </si>
  <si>
    <t>skye</t>
  </si>
  <si>
    <t>Losing Comp</t>
  </si>
  <si>
    <t>SYNERGY WINS</t>
  </si>
  <si>
    <t>SYNERGY LOSSES</t>
  </si>
  <si>
    <t>SYNERGY TOTAL COUNT</t>
  </si>
  <si>
    <t>SYNERGY WIN %</t>
  </si>
  <si>
    <t>MATCHUP WINS</t>
  </si>
  <si>
    <t>MATCHUP TOTAL COUNT</t>
  </si>
  <si>
    <t>MATCHUP WIN %</t>
  </si>
  <si>
    <t>MAP COUNTER</t>
  </si>
  <si>
    <t>WIN RATE OVER TIME - WINS</t>
  </si>
  <si>
    <t>WIN RATE OVER TIME - TOTAL COUNT</t>
  </si>
  <si>
    <t>WIN RATE OVER TIME - WIN %</t>
  </si>
  <si>
    <t>INDIV WIN BY MAP - WINS</t>
  </si>
  <si>
    <t>INDIV WIN BY MAP - TOTAL COUNT</t>
  </si>
  <si>
    <t>ROLES/AGENT LIST</t>
  </si>
  <si>
    <t>INDIV ROLE PLAY - COUNT</t>
  </si>
  <si>
    <t>INDIV ROLE PLAY - %</t>
  </si>
  <si>
    <t>INDIV AGENT PLAY - COUNT</t>
  </si>
  <si>
    <t>INDIV AGENT PLAY - %</t>
  </si>
  <si>
    <t>#1</t>
  </si>
  <si>
    <t>#2</t>
  </si>
  <si>
    <t>#3</t>
  </si>
  <si>
    <t>https://i.ibb.co/zGxz9WH/agent-kayo.png</t>
  </si>
  <si>
    <t>https://i.ibb.co/GtG7Z01/agent-breach.png</t>
  </si>
  <si>
    <t>AGENT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</si>
</sst>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1" fillId="0" borderId="0" xfId="0" applyNumberFormat="1" applyFont="1"/>
    <xf numFmtId="0" fontId="1" fillId="0" borderId="0" xfId="0" applyFont="1" applyAlignment="1">
      <alignment wrapText="1"/>
    </xf>
    <xf numFmtId="0" fontId="0" fillId="0" borderId="0" xfId="0" applyFill="1"/>
    <xf numFmtId="0" fontId="4" fillId="0" borderId="0" xfId="1" applyFill="1" applyBorder="1"/>
    <xf numFmtId="1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0" borderId="0" xfId="0" applyFont="1" applyFill="1"/>
    <xf numFmtId="9" fontId="5" fillId="0" borderId="0" xfId="0" applyNumberFormat="1" applyFont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numFmt numFmtId="13" formatCode="0%"/>
    </dxf>
    <dxf>
      <numFmt numFmtId="0" formatCode="General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28</xdr:row>
          <xdr:rowOff>114300</xdr:rowOff>
        </xdr:from>
        <xdr:to>
          <xdr:col>13</xdr:col>
          <xdr:colOff>342900</xdr:colOff>
          <xdr:row>31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1"/>
    <tableColumn id="3" name="Percentage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Z421"/>
  <sheetViews>
    <sheetView zoomScale="85" zoomScaleNormal="85" workbookViewId="0">
      <pane xSplit="1" ySplit="13" topLeftCell="B363" activePane="bottomRight" state="frozen"/>
      <selection pane="topRight" activeCell="B1" sqref="B1"/>
      <selection pane="bottomLeft" activeCell="A14" sqref="A14"/>
      <selection pane="bottomRight" activeCell="W387" sqref="W387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52" x14ac:dyDescent="0.25">
      <c r="A1" s="3" t="s">
        <v>33</v>
      </c>
    </row>
    <row r="2" spans="1:52" s="23" customFormat="1" x14ac:dyDescent="0.25">
      <c r="A2" s="24" t="s">
        <v>0</v>
      </c>
      <c r="B2" s="23">
        <v>44845</v>
      </c>
      <c r="C2" s="23">
        <v>44845</v>
      </c>
      <c r="D2" s="23">
        <v>44852</v>
      </c>
      <c r="E2" s="23">
        <v>44855</v>
      </c>
      <c r="F2" s="23">
        <v>44856</v>
      </c>
      <c r="G2" s="23">
        <v>44856</v>
      </c>
      <c r="H2" s="23">
        <v>44856</v>
      </c>
      <c r="I2" s="23">
        <v>44856</v>
      </c>
      <c r="J2" s="23">
        <v>44857</v>
      </c>
      <c r="K2" s="23">
        <v>44857</v>
      </c>
      <c r="L2" s="23">
        <v>44871</v>
      </c>
      <c r="M2" s="23">
        <v>44877</v>
      </c>
      <c r="N2" s="23">
        <v>44877</v>
      </c>
      <c r="O2" s="23">
        <v>44877</v>
      </c>
      <c r="P2" s="23">
        <v>44878</v>
      </c>
      <c r="Q2" s="23">
        <v>44878</v>
      </c>
      <c r="R2" s="23">
        <v>44879</v>
      </c>
      <c r="S2" s="23">
        <v>44883</v>
      </c>
      <c r="T2" s="23">
        <v>44883</v>
      </c>
      <c r="U2" s="23">
        <v>44883</v>
      </c>
      <c r="V2" s="23">
        <v>44884</v>
      </c>
      <c r="W2" s="23">
        <v>44885</v>
      </c>
      <c r="X2" s="23">
        <v>44885</v>
      </c>
      <c r="Y2" s="23">
        <v>44885</v>
      </c>
      <c r="Z2" s="23">
        <v>44885</v>
      </c>
      <c r="AA2" s="23">
        <v>44890</v>
      </c>
      <c r="AB2" s="23">
        <v>44890</v>
      </c>
      <c r="AC2" s="23">
        <v>44891</v>
      </c>
      <c r="AD2" s="23">
        <v>44891</v>
      </c>
      <c r="AE2" s="23">
        <v>44897</v>
      </c>
      <c r="AF2" s="23">
        <v>44898</v>
      </c>
      <c r="AG2" s="23">
        <v>44898</v>
      </c>
      <c r="AH2" s="23">
        <v>44898</v>
      </c>
      <c r="AI2" s="23">
        <v>44899</v>
      </c>
      <c r="AJ2" s="23">
        <v>44899</v>
      </c>
      <c r="AK2" s="23">
        <v>44900</v>
      </c>
      <c r="AL2" s="23">
        <v>44904</v>
      </c>
      <c r="AM2" s="23">
        <v>44905</v>
      </c>
      <c r="AN2" s="23">
        <v>44905</v>
      </c>
      <c r="AO2" s="23">
        <v>44905</v>
      </c>
      <c r="AP2" s="23">
        <v>44905</v>
      </c>
      <c r="AQ2" s="23">
        <v>44906</v>
      </c>
      <c r="AR2" s="23">
        <v>44906</v>
      </c>
      <c r="AS2" s="23">
        <v>44911</v>
      </c>
      <c r="AT2" s="23">
        <v>44911</v>
      </c>
      <c r="AU2" s="23">
        <v>44913</v>
      </c>
      <c r="AV2" s="23">
        <v>44913</v>
      </c>
      <c r="AW2" s="23">
        <v>44915</v>
      </c>
      <c r="AX2" s="23">
        <v>44915</v>
      </c>
      <c r="AY2" s="23">
        <v>44920</v>
      </c>
      <c r="AZ2" s="23">
        <v>44920</v>
      </c>
    </row>
    <row r="3" spans="1:52" s="20" customFormat="1" x14ac:dyDescent="0.25">
      <c r="A3" s="19" t="s">
        <v>1</v>
      </c>
      <c r="B3" s="20" t="s">
        <v>14</v>
      </c>
      <c r="C3" s="20" t="s">
        <v>2</v>
      </c>
      <c r="D3" s="20" t="s">
        <v>19</v>
      </c>
      <c r="E3" s="20" t="s">
        <v>20</v>
      </c>
      <c r="F3" s="20" t="s">
        <v>2</v>
      </c>
      <c r="G3" s="20" t="s">
        <v>14</v>
      </c>
      <c r="H3" s="20" t="s">
        <v>2</v>
      </c>
      <c r="I3" s="20" t="s">
        <v>17</v>
      </c>
      <c r="J3" s="20" t="s">
        <v>17</v>
      </c>
      <c r="K3" s="20" t="s">
        <v>19</v>
      </c>
      <c r="L3" s="20" t="s">
        <v>2</v>
      </c>
      <c r="M3" s="20" t="s">
        <v>14</v>
      </c>
      <c r="N3" s="20" t="s">
        <v>20</v>
      </c>
      <c r="O3" s="20" t="s">
        <v>17</v>
      </c>
      <c r="P3" s="20" t="s">
        <v>19</v>
      </c>
      <c r="Q3" s="20" t="s">
        <v>14</v>
      </c>
      <c r="R3" s="20" t="s">
        <v>17</v>
      </c>
      <c r="S3" s="20" t="s">
        <v>25</v>
      </c>
      <c r="T3" s="20" t="s">
        <v>2</v>
      </c>
      <c r="U3" s="20" t="s">
        <v>17</v>
      </c>
      <c r="V3" s="20" t="s">
        <v>21</v>
      </c>
      <c r="W3" s="20" t="s">
        <v>13</v>
      </c>
      <c r="X3" s="20" t="s">
        <v>20</v>
      </c>
      <c r="Y3" s="20" t="s">
        <v>25</v>
      </c>
      <c r="Z3" s="20" t="s">
        <v>19</v>
      </c>
      <c r="AA3" s="20" t="s">
        <v>13</v>
      </c>
      <c r="AB3" s="20" t="s">
        <v>20</v>
      </c>
      <c r="AC3" s="20" t="s">
        <v>14</v>
      </c>
      <c r="AD3" s="20" t="s">
        <v>25</v>
      </c>
      <c r="AE3" s="20" t="s">
        <v>2</v>
      </c>
      <c r="AF3" s="20" t="s">
        <v>17</v>
      </c>
      <c r="AG3" s="20" t="s">
        <v>21</v>
      </c>
      <c r="AH3" s="20" t="s">
        <v>14</v>
      </c>
      <c r="AI3" s="20" t="s">
        <v>20</v>
      </c>
      <c r="AJ3" s="20" t="s">
        <v>13</v>
      </c>
      <c r="AK3" s="20" t="s">
        <v>19</v>
      </c>
      <c r="AL3" s="20" t="s">
        <v>17</v>
      </c>
      <c r="AM3" s="20" t="s">
        <v>2</v>
      </c>
      <c r="AN3" s="20" t="s">
        <v>14</v>
      </c>
      <c r="AO3" s="20" t="s">
        <v>17</v>
      </c>
      <c r="AP3" s="20" t="s">
        <v>14</v>
      </c>
      <c r="AQ3" s="20" t="s">
        <v>13</v>
      </c>
      <c r="AR3" s="20" t="s">
        <v>2</v>
      </c>
      <c r="AS3" s="20" t="s">
        <v>21</v>
      </c>
      <c r="AT3" s="20" t="s">
        <v>25</v>
      </c>
      <c r="AU3" s="20" t="s">
        <v>20</v>
      </c>
      <c r="AV3" s="20" t="s">
        <v>25</v>
      </c>
      <c r="AW3" s="20" t="s">
        <v>13</v>
      </c>
      <c r="AX3" s="20" t="s">
        <v>19</v>
      </c>
      <c r="AY3" s="20" t="s">
        <v>13</v>
      </c>
      <c r="AZ3" s="20" t="s">
        <v>25</v>
      </c>
    </row>
    <row r="4" spans="1:52" s="22" customFormat="1" x14ac:dyDescent="0.25">
      <c r="A4" s="21" t="s">
        <v>38</v>
      </c>
      <c r="B4" s="22" t="s">
        <v>7</v>
      </c>
      <c r="C4" s="22" t="s">
        <v>11</v>
      </c>
      <c r="D4" s="22" t="s">
        <v>3</v>
      </c>
      <c r="E4" s="22" t="s">
        <v>4</v>
      </c>
      <c r="F4" s="22" t="s">
        <v>8</v>
      </c>
      <c r="G4" s="22" t="s">
        <v>3</v>
      </c>
      <c r="H4" s="22" t="s">
        <v>3</v>
      </c>
      <c r="I4" s="22" t="s">
        <v>8</v>
      </c>
      <c r="J4" s="22" t="s">
        <v>6</v>
      </c>
      <c r="K4" s="22" t="s">
        <v>5</v>
      </c>
      <c r="L4" s="22" t="s">
        <v>9</v>
      </c>
      <c r="M4" s="22" t="s">
        <v>8</v>
      </c>
      <c r="N4" s="22" t="s">
        <v>3</v>
      </c>
      <c r="O4" s="22" t="s">
        <v>8</v>
      </c>
      <c r="P4" s="22" t="s">
        <v>8</v>
      </c>
      <c r="Q4" s="22" t="s">
        <v>11</v>
      </c>
      <c r="R4" s="22" t="s">
        <v>3</v>
      </c>
      <c r="S4" s="22" t="s">
        <v>7</v>
      </c>
      <c r="T4" s="22" t="s">
        <v>8</v>
      </c>
      <c r="U4" s="22" t="s">
        <v>7</v>
      </c>
      <c r="V4" s="22" t="s">
        <v>4</v>
      </c>
      <c r="W4" s="22" t="s">
        <v>5</v>
      </c>
      <c r="X4" s="22" t="s">
        <v>8</v>
      </c>
      <c r="Y4" s="22" t="s">
        <v>3</v>
      </c>
      <c r="Z4" s="22" t="s">
        <v>12</v>
      </c>
      <c r="AA4" s="22" t="s">
        <v>3</v>
      </c>
      <c r="AB4" s="22" t="s">
        <v>7</v>
      </c>
      <c r="AC4" s="22" t="s">
        <v>7</v>
      </c>
      <c r="AD4" s="22" t="s">
        <v>8</v>
      </c>
      <c r="AE4" s="22" t="s">
        <v>5</v>
      </c>
      <c r="AF4" s="22" t="s">
        <v>3</v>
      </c>
      <c r="AG4" s="22" t="s">
        <v>11</v>
      </c>
      <c r="AH4" s="22" t="s">
        <v>11</v>
      </c>
      <c r="AI4" s="22" t="s">
        <v>22</v>
      </c>
      <c r="AJ4" s="22" t="s">
        <v>22</v>
      </c>
      <c r="AK4" s="22" t="s">
        <v>9</v>
      </c>
      <c r="AL4" s="22" t="s">
        <v>3</v>
      </c>
      <c r="AM4" s="22" t="s">
        <v>8</v>
      </c>
      <c r="AN4" s="22" t="s">
        <v>8</v>
      </c>
      <c r="AO4" s="22" t="s">
        <v>3</v>
      </c>
      <c r="AP4" s="22" t="s">
        <v>5</v>
      </c>
      <c r="AQ4" s="22" t="s">
        <v>3</v>
      </c>
      <c r="AR4" s="22" t="s">
        <v>3</v>
      </c>
      <c r="AS4" s="22" t="s">
        <v>8</v>
      </c>
      <c r="AT4" s="22" t="s">
        <v>8</v>
      </c>
      <c r="AU4" s="22" t="s">
        <v>7</v>
      </c>
      <c r="AV4" s="22" t="s">
        <v>8</v>
      </c>
      <c r="AW4" s="22" t="s">
        <v>11</v>
      </c>
      <c r="AX4" s="22" t="s">
        <v>11</v>
      </c>
      <c r="AY4" s="22" t="s">
        <v>3</v>
      </c>
      <c r="AZ4" s="22" t="s">
        <v>7</v>
      </c>
    </row>
    <row r="5" spans="1:52" s="22" customFormat="1" x14ac:dyDescent="0.25">
      <c r="B5" s="22" t="s">
        <v>9</v>
      </c>
      <c r="C5" s="22" t="s">
        <v>7</v>
      </c>
      <c r="D5" s="22" t="s">
        <v>22</v>
      </c>
      <c r="E5" s="22" t="s">
        <v>9</v>
      </c>
      <c r="F5" s="22" t="s">
        <v>24</v>
      </c>
      <c r="G5" s="22" t="s">
        <v>7</v>
      </c>
      <c r="H5" s="22" t="s">
        <v>7</v>
      </c>
      <c r="I5" s="22" t="s">
        <v>7</v>
      </c>
      <c r="J5" s="22" t="s">
        <v>9</v>
      </c>
      <c r="K5" s="22" t="s">
        <v>6</v>
      </c>
      <c r="L5" s="22" t="s">
        <v>7</v>
      </c>
      <c r="M5" s="22" t="s">
        <v>4</v>
      </c>
      <c r="N5" s="22" t="s">
        <v>5</v>
      </c>
      <c r="O5" s="22" t="s">
        <v>22</v>
      </c>
      <c r="P5" s="22" t="s">
        <v>6</v>
      </c>
      <c r="Q5" s="22" t="s">
        <v>3</v>
      </c>
      <c r="R5" s="22" t="s">
        <v>7</v>
      </c>
      <c r="S5" s="22" t="s">
        <v>9</v>
      </c>
      <c r="T5" s="22" t="s">
        <v>23</v>
      </c>
      <c r="U5" s="22" t="s">
        <v>4</v>
      </c>
      <c r="V5" s="22" t="s">
        <v>3</v>
      </c>
      <c r="W5" s="22" t="s">
        <v>23</v>
      </c>
      <c r="X5" s="22" t="s">
        <v>11</v>
      </c>
      <c r="Y5" s="22" t="s">
        <v>22</v>
      </c>
      <c r="Z5" s="22" t="s">
        <v>3</v>
      </c>
      <c r="AA5" s="22" t="s">
        <v>7</v>
      </c>
      <c r="AB5" s="22" t="s">
        <v>3</v>
      </c>
      <c r="AC5" s="22" t="s">
        <v>3</v>
      </c>
      <c r="AD5" s="22" t="s">
        <v>26</v>
      </c>
      <c r="AE5" s="22" t="s">
        <v>9</v>
      </c>
      <c r="AF5" s="22" t="s">
        <v>23</v>
      </c>
      <c r="AG5" s="22" t="s">
        <v>4</v>
      </c>
      <c r="AH5" s="22" t="s">
        <v>3</v>
      </c>
      <c r="AI5" s="22" t="s">
        <v>6</v>
      </c>
      <c r="AJ5" s="22" t="s">
        <v>5</v>
      </c>
      <c r="AK5" s="22" t="s">
        <v>11</v>
      </c>
      <c r="AL5" s="22" t="s">
        <v>7</v>
      </c>
      <c r="AM5" s="22" t="s">
        <v>7</v>
      </c>
      <c r="AN5" s="22" t="s">
        <v>3</v>
      </c>
      <c r="AO5" s="22" t="s">
        <v>7</v>
      </c>
      <c r="AP5" s="22" t="s">
        <v>8</v>
      </c>
      <c r="AQ5" s="22" t="s">
        <v>7</v>
      </c>
      <c r="AR5" s="22" t="s">
        <v>4</v>
      </c>
      <c r="AS5" s="22" t="s">
        <v>3</v>
      </c>
      <c r="AT5" s="22" t="s">
        <v>23</v>
      </c>
      <c r="AU5" s="22" t="s">
        <v>22</v>
      </c>
      <c r="AV5" s="22" t="s">
        <v>11</v>
      </c>
      <c r="AW5" s="22" t="s">
        <v>23</v>
      </c>
      <c r="AX5" s="22" t="s">
        <v>4</v>
      </c>
      <c r="AY5" s="22" t="s">
        <v>7</v>
      </c>
      <c r="AZ5" s="22" t="s">
        <v>11</v>
      </c>
    </row>
    <row r="6" spans="1:52" s="22" customFormat="1" x14ac:dyDescent="0.25">
      <c r="B6" s="22" t="s">
        <v>4</v>
      </c>
      <c r="C6" s="22" t="s">
        <v>5</v>
      </c>
      <c r="D6" s="22" t="s">
        <v>11</v>
      </c>
      <c r="E6" s="22" t="s">
        <v>22</v>
      </c>
      <c r="F6" s="22" t="s">
        <v>4</v>
      </c>
      <c r="G6" s="22" t="s">
        <v>12</v>
      </c>
      <c r="H6" s="22" t="s">
        <v>22</v>
      </c>
      <c r="I6" s="22" t="s">
        <v>4</v>
      </c>
      <c r="J6" s="22" t="s">
        <v>22</v>
      </c>
      <c r="K6" s="22" t="s">
        <v>22</v>
      </c>
      <c r="L6" s="22" t="s">
        <v>4</v>
      </c>
      <c r="M6" s="22" t="s">
        <v>26</v>
      </c>
      <c r="N6" s="22" t="s">
        <v>22</v>
      </c>
      <c r="O6" s="22" t="s">
        <v>5</v>
      </c>
      <c r="P6" s="22" t="s">
        <v>22</v>
      </c>
      <c r="R6" s="22" t="s">
        <v>6</v>
      </c>
      <c r="S6" s="22" t="s">
        <v>22</v>
      </c>
      <c r="T6" s="22" t="s">
        <v>5</v>
      </c>
      <c r="U6" s="22" t="s">
        <v>22</v>
      </c>
      <c r="V6" s="22" t="s">
        <v>5</v>
      </c>
      <c r="W6" s="22" t="s">
        <v>6</v>
      </c>
      <c r="X6" s="22" t="s">
        <v>3</v>
      </c>
      <c r="Y6" s="22" t="s">
        <v>5</v>
      </c>
      <c r="Z6" s="22" t="s">
        <v>9</v>
      </c>
      <c r="AA6" s="22" t="s">
        <v>11</v>
      </c>
      <c r="AB6" s="22" t="s">
        <v>11</v>
      </c>
      <c r="AC6" s="22" t="s">
        <v>23</v>
      </c>
      <c r="AD6" s="22" t="s">
        <v>23</v>
      </c>
      <c r="AE6" s="22" t="s">
        <v>6</v>
      </c>
      <c r="AF6" s="22" t="s">
        <v>6</v>
      </c>
      <c r="AG6" s="22" t="s">
        <v>6</v>
      </c>
      <c r="AH6" s="22" t="s">
        <v>23</v>
      </c>
      <c r="AI6" s="22" t="s">
        <v>3</v>
      </c>
      <c r="AJ6" s="22" t="s">
        <v>4</v>
      </c>
      <c r="AK6" s="22" t="s">
        <v>6</v>
      </c>
      <c r="AL6" s="22" t="s">
        <v>4</v>
      </c>
      <c r="AM6" s="22" t="s">
        <v>3</v>
      </c>
      <c r="AN6" s="22" t="s">
        <v>7</v>
      </c>
      <c r="AO6" s="22" t="s">
        <v>11</v>
      </c>
      <c r="AP6" s="22" t="s">
        <v>7</v>
      </c>
      <c r="AQ6" s="22" t="s">
        <v>4</v>
      </c>
      <c r="AR6" s="22" t="s">
        <v>5</v>
      </c>
      <c r="AS6" s="22" t="s">
        <v>4</v>
      </c>
      <c r="AT6" s="22" t="s">
        <v>5</v>
      </c>
      <c r="AU6" s="22" t="s">
        <v>6</v>
      </c>
      <c r="AV6" s="22" t="s">
        <v>6</v>
      </c>
      <c r="AW6" s="22" t="s">
        <v>3</v>
      </c>
      <c r="AX6" s="22" t="s">
        <v>22</v>
      </c>
      <c r="AY6" s="22" t="s">
        <v>23</v>
      </c>
      <c r="AZ6" s="22" t="s">
        <v>6</v>
      </c>
    </row>
    <row r="7" spans="1:52" s="22" customFormat="1" x14ac:dyDescent="0.25">
      <c r="B7" s="22" t="s">
        <v>22</v>
      </c>
      <c r="C7" s="22" t="s">
        <v>23</v>
      </c>
      <c r="D7" s="22" t="s">
        <v>6</v>
      </c>
      <c r="E7" s="22" t="s">
        <v>12</v>
      </c>
      <c r="F7" s="22" t="s">
        <v>26</v>
      </c>
      <c r="G7" s="22" t="s">
        <v>4</v>
      </c>
      <c r="H7" s="22" t="s">
        <v>4</v>
      </c>
      <c r="I7" s="22" t="s">
        <v>24</v>
      </c>
      <c r="J7" s="22" t="s">
        <v>5</v>
      </c>
      <c r="K7" s="22" t="s">
        <v>7</v>
      </c>
      <c r="L7" s="22" t="s">
        <v>5</v>
      </c>
      <c r="M7" s="22" t="s">
        <v>23</v>
      </c>
      <c r="N7" s="22" t="s">
        <v>4</v>
      </c>
      <c r="O7" s="22" t="s">
        <v>16</v>
      </c>
      <c r="P7" s="22" t="s">
        <v>24</v>
      </c>
      <c r="Q7" s="22" t="s">
        <v>22</v>
      </c>
      <c r="R7" s="22" t="s">
        <v>5</v>
      </c>
      <c r="S7" s="22" t="s">
        <v>6</v>
      </c>
      <c r="T7" s="22" t="s">
        <v>12</v>
      </c>
      <c r="U7" s="22" t="s">
        <v>5</v>
      </c>
      <c r="V7" s="22" t="s">
        <v>16</v>
      </c>
      <c r="W7" s="22" t="s">
        <v>4</v>
      </c>
      <c r="X7" s="22" t="s">
        <v>7</v>
      </c>
      <c r="Y7" s="22" t="s">
        <v>6</v>
      </c>
      <c r="Z7" s="22" t="s">
        <v>4</v>
      </c>
      <c r="AA7" s="22" t="s">
        <v>12</v>
      </c>
      <c r="AB7" s="22" t="s">
        <v>12</v>
      </c>
      <c r="AC7" s="22" t="s">
        <v>6</v>
      </c>
      <c r="AD7" s="22" t="s">
        <v>24</v>
      </c>
      <c r="AE7" s="22" t="s">
        <v>7</v>
      </c>
      <c r="AF7" s="22" t="s">
        <v>4</v>
      </c>
      <c r="AG7" s="22" t="s">
        <v>5</v>
      </c>
      <c r="AH7" s="22" t="s">
        <v>12</v>
      </c>
      <c r="AI7" s="22" t="s">
        <v>4</v>
      </c>
      <c r="AJ7" s="22" t="s">
        <v>6</v>
      </c>
      <c r="AK7" s="22" t="s">
        <v>23</v>
      </c>
      <c r="AL7" s="22" t="s">
        <v>12</v>
      </c>
      <c r="AM7" s="22" t="s">
        <v>12</v>
      </c>
      <c r="AN7" s="22" t="s">
        <v>12</v>
      </c>
      <c r="AO7" s="22" t="s">
        <v>18</v>
      </c>
      <c r="AP7" s="22" t="s">
        <v>6</v>
      </c>
      <c r="AQ7" s="22" t="s">
        <v>5</v>
      </c>
      <c r="AR7" s="22" t="s">
        <v>6</v>
      </c>
      <c r="AS7" s="22" t="s">
        <v>5</v>
      </c>
      <c r="AT7" s="22" t="s">
        <v>4</v>
      </c>
      <c r="AU7" s="22" t="s">
        <v>12</v>
      </c>
      <c r="AV7" s="22" t="s">
        <v>12</v>
      </c>
      <c r="AW7" s="22" t="s">
        <v>16</v>
      </c>
      <c r="AX7" s="22" t="s">
        <v>5</v>
      </c>
      <c r="AY7" s="22" t="s">
        <v>16</v>
      </c>
      <c r="AZ7" s="22" t="s">
        <v>12</v>
      </c>
    </row>
    <row r="8" spans="1:52" s="20" customFormat="1" x14ac:dyDescent="0.25">
      <c r="B8" s="20" t="s">
        <v>12</v>
      </c>
      <c r="C8" s="20" t="s">
        <v>12</v>
      </c>
      <c r="D8" s="20" t="s">
        <v>12</v>
      </c>
      <c r="F8" s="20" t="s">
        <v>16</v>
      </c>
      <c r="G8" s="20" t="s">
        <v>6</v>
      </c>
      <c r="H8" s="20" t="s">
        <v>16</v>
      </c>
      <c r="J8" s="20" t="s">
        <v>12</v>
      </c>
      <c r="K8" s="20" t="s">
        <v>4</v>
      </c>
      <c r="L8" s="20" t="s">
        <v>16</v>
      </c>
      <c r="M8" s="20" t="s">
        <v>24</v>
      </c>
      <c r="N8" s="20" t="s">
        <v>12</v>
      </c>
      <c r="O8" s="20" t="s">
        <v>4</v>
      </c>
      <c r="P8" s="20" t="s">
        <v>12</v>
      </c>
      <c r="Q8" s="20" t="s">
        <v>24</v>
      </c>
      <c r="R8" s="20" t="s">
        <v>12</v>
      </c>
      <c r="S8" s="20" t="s">
        <v>4</v>
      </c>
      <c r="T8" s="20" t="s">
        <v>4</v>
      </c>
      <c r="U8" s="20" t="s">
        <v>16</v>
      </c>
      <c r="V8" s="20" t="s">
        <v>12</v>
      </c>
      <c r="W8" s="20" t="s">
        <v>22</v>
      </c>
      <c r="X8" s="20" t="s">
        <v>12</v>
      </c>
      <c r="Y8" s="20" t="s">
        <v>12</v>
      </c>
      <c r="Z8" s="20" t="s">
        <v>6</v>
      </c>
      <c r="AA8" s="20" t="s">
        <v>16</v>
      </c>
      <c r="AB8" s="20" t="s">
        <v>16</v>
      </c>
      <c r="AC8" s="20" t="s">
        <v>5</v>
      </c>
      <c r="AE8" s="20" t="s">
        <v>12</v>
      </c>
      <c r="AF8" s="20" t="s">
        <v>16</v>
      </c>
      <c r="AG8" s="20" t="s">
        <v>16</v>
      </c>
      <c r="AH8" s="20" t="s">
        <v>18</v>
      </c>
      <c r="AI8" s="20" t="s">
        <v>5</v>
      </c>
      <c r="AJ8" s="20" t="s">
        <v>24</v>
      </c>
      <c r="AK8" s="20" t="s">
        <v>5</v>
      </c>
      <c r="AL8" s="20" t="s">
        <v>16</v>
      </c>
      <c r="AO8" s="20" t="s">
        <v>16</v>
      </c>
      <c r="AP8" s="20" t="s">
        <v>16</v>
      </c>
      <c r="AQ8" s="20" t="s">
        <v>6</v>
      </c>
      <c r="AR8" s="20" t="s">
        <v>7</v>
      </c>
      <c r="AS8" s="20" t="s">
        <v>18</v>
      </c>
      <c r="AT8" s="20" t="s">
        <v>16</v>
      </c>
      <c r="AU8" s="20" t="s">
        <v>11</v>
      </c>
      <c r="AV8" s="20" t="s">
        <v>4</v>
      </c>
      <c r="AW8" s="20" t="s">
        <v>6</v>
      </c>
      <c r="AX8" s="20" t="s">
        <v>16</v>
      </c>
      <c r="AY8" s="20" t="s">
        <v>4</v>
      </c>
    </row>
    <row r="9" spans="1:52" s="22" customFormat="1" x14ac:dyDescent="0.25">
      <c r="A9" s="21" t="s">
        <v>39</v>
      </c>
      <c r="B9" s="22" t="s">
        <v>5</v>
      </c>
      <c r="C9" s="22" t="s">
        <v>9</v>
      </c>
      <c r="E9" s="22" t="s">
        <v>3</v>
      </c>
      <c r="F9" s="22" t="s">
        <v>6</v>
      </c>
      <c r="G9" s="22" t="s">
        <v>5</v>
      </c>
      <c r="H9" s="22" t="s">
        <v>8</v>
      </c>
      <c r="I9" s="22" t="s">
        <v>3</v>
      </c>
      <c r="J9" s="22" t="s">
        <v>3</v>
      </c>
      <c r="K9" s="22" t="s">
        <v>24</v>
      </c>
      <c r="L9" s="22" t="s">
        <v>3</v>
      </c>
      <c r="M9" s="22" t="s">
        <v>5</v>
      </c>
      <c r="N9" s="22" t="s">
        <v>8</v>
      </c>
      <c r="O9" s="22" t="s">
        <v>3</v>
      </c>
      <c r="P9" s="22" t="s">
        <v>4</v>
      </c>
      <c r="Q9" s="22" t="s">
        <v>8</v>
      </c>
      <c r="R9" s="22" t="s">
        <v>24</v>
      </c>
      <c r="S9" s="22" t="s">
        <v>23</v>
      </c>
      <c r="T9" s="22" t="s">
        <v>7</v>
      </c>
      <c r="U9" s="22" t="s">
        <v>23</v>
      </c>
      <c r="V9" s="22" t="s">
        <v>11</v>
      </c>
      <c r="W9" s="22" t="s">
        <v>3</v>
      </c>
      <c r="X9" s="22" t="s">
        <v>22</v>
      </c>
      <c r="Y9" s="22" t="s">
        <v>8</v>
      </c>
      <c r="Z9" s="22" t="s">
        <v>8</v>
      </c>
      <c r="AA9" s="22" t="s">
        <v>9</v>
      </c>
      <c r="AB9" s="22" t="s">
        <v>4</v>
      </c>
      <c r="AC9" s="22" t="s">
        <v>8</v>
      </c>
      <c r="AD9" s="22" t="s">
        <v>4</v>
      </c>
      <c r="AE9" s="22" t="s">
        <v>22</v>
      </c>
      <c r="AF9" s="22" t="s">
        <v>11</v>
      </c>
      <c r="AG9" s="22" t="s">
        <v>3</v>
      </c>
      <c r="AH9" s="22" t="s">
        <v>4</v>
      </c>
      <c r="AI9" s="22" t="s">
        <v>8</v>
      </c>
      <c r="AJ9" s="22" t="s">
        <v>8</v>
      </c>
      <c r="AK9" s="22" t="s">
        <v>3</v>
      </c>
      <c r="AL9" s="22" t="s">
        <v>9</v>
      </c>
      <c r="AM9" s="22" t="s">
        <v>23</v>
      </c>
      <c r="AN9" s="22" t="s">
        <v>4</v>
      </c>
      <c r="AO9" s="22" t="s">
        <v>8</v>
      </c>
      <c r="AP9" s="22" t="s">
        <v>3</v>
      </c>
      <c r="AQ9" s="22" t="s">
        <v>8</v>
      </c>
      <c r="AR9" s="22" t="s">
        <v>8</v>
      </c>
      <c r="AS9" s="22" t="s">
        <v>7</v>
      </c>
      <c r="AT9" s="22" t="s">
        <v>22</v>
      </c>
      <c r="AU9" s="22" t="s">
        <v>3</v>
      </c>
      <c r="AV9" s="22" t="s">
        <v>7</v>
      </c>
      <c r="AW9" s="22" t="s">
        <v>4</v>
      </c>
      <c r="AX9" s="22" t="s">
        <v>3</v>
      </c>
      <c r="AY9" s="22" t="s">
        <v>11</v>
      </c>
      <c r="AZ9" s="22" t="s">
        <v>3</v>
      </c>
    </row>
    <row r="10" spans="1:52" s="22" customFormat="1" x14ac:dyDescent="0.25">
      <c r="B10" s="22" t="s">
        <v>11</v>
      </c>
      <c r="C10" s="22" t="s">
        <v>6</v>
      </c>
      <c r="D10" s="22" t="s">
        <v>5</v>
      </c>
      <c r="E10" s="22" t="s">
        <v>26</v>
      </c>
      <c r="F10" s="22" t="s">
        <v>22</v>
      </c>
      <c r="G10" s="22" t="s">
        <v>22</v>
      </c>
      <c r="H10" s="22" t="s">
        <v>5</v>
      </c>
      <c r="I10" s="22" t="s">
        <v>5</v>
      </c>
      <c r="J10" s="22" t="s">
        <v>11</v>
      </c>
      <c r="K10" s="22" t="s">
        <v>8</v>
      </c>
      <c r="L10" s="22" t="s">
        <v>22</v>
      </c>
      <c r="M10" s="22" t="s">
        <v>16</v>
      </c>
      <c r="N10" s="22" t="s">
        <v>16</v>
      </c>
      <c r="O10" s="22" t="s">
        <v>26</v>
      </c>
      <c r="P10" s="22" t="s">
        <v>5</v>
      </c>
      <c r="Q10" s="22" t="s">
        <v>6</v>
      </c>
      <c r="R10" s="22" t="s">
        <v>11</v>
      </c>
      <c r="S10" s="22" t="s">
        <v>8</v>
      </c>
      <c r="T10" s="22" t="s">
        <v>9</v>
      </c>
      <c r="U10" s="22" t="s">
        <v>9</v>
      </c>
      <c r="V10" s="22" t="s">
        <v>22</v>
      </c>
      <c r="W10" s="22" t="s">
        <v>7</v>
      </c>
      <c r="X10" s="22" t="s">
        <v>23</v>
      </c>
      <c r="Y10" s="22" t="s">
        <v>24</v>
      </c>
      <c r="Z10" s="22" t="s">
        <v>22</v>
      </c>
      <c r="AA10" s="22" t="s">
        <v>4</v>
      </c>
      <c r="AB10" s="22" t="s">
        <v>23</v>
      </c>
      <c r="AC10" s="22" t="s">
        <v>9</v>
      </c>
      <c r="AD10" s="22" t="s">
        <v>3</v>
      </c>
      <c r="AE10" s="22" t="s">
        <v>3</v>
      </c>
      <c r="AF10" s="22" t="s">
        <v>22</v>
      </c>
      <c r="AG10" s="22" t="s">
        <v>22</v>
      </c>
      <c r="AH10" s="22" t="s">
        <v>6</v>
      </c>
      <c r="AI10" s="22" t="s">
        <v>10</v>
      </c>
      <c r="AJ10" s="22" t="s">
        <v>3</v>
      </c>
      <c r="AK10" s="22" t="s">
        <v>4</v>
      </c>
      <c r="AL10" s="22" t="s">
        <v>8</v>
      </c>
      <c r="AM10" s="22" t="s">
        <v>18</v>
      </c>
      <c r="AN10" s="22" t="s">
        <v>5</v>
      </c>
      <c r="AO10" s="22" t="s">
        <v>6</v>
      </c>
      <c r="AP10" s="22" t="s">
        <v>4</v>
      </c>
      <c r="AQ10" s="22" t="s">
        <v>10</v>
      </c>
      <c r="AR10" s="22" t="s">
        <v>9</v>
      </c>
      <c r="AS10" s="22" t="s">
        <v>23</v>
      </c>
      <c r="AT10" s="22" t="s">
        <v>3</v>
      </c>
      <c r="AU10" s="22" t="s">
        <v>9</v>
      </c>
      <c r="AV10" s="22" t="s">
        <v>9</v>
      </c>
      <c r="AW10" s="22" t="s">
        <v>22</v>
      </c>
      <c r="AX10" s="22" t="s">
        <v>23</v>
      </c>
      <c r="AY10" s="22" t="s">
        <v>22</v>
      </c>
      <c r="AZ10" s="22" t="s">
        <v>22</v>
      </c>
    </row>
    <row r="11" spans="1:52" s="22" customFormat="1" x14ac:dyDescent="0.25">
      <c r="B11" s="22" t="s">
        <v>23</v>
      </c>
      <c r="C11" s="22" t="s">
        <v>22</v>
      </c>
      <c r="E11" s="22" t="s">
        <v>6</v>
      </c>
      <c r="F11" s="22" t="s">
        <v>3</v>
      </c>
      <c r="G11" s="22" t="s">
        <v>8</v>
      </c>
      <c r="H11" s="22" t="s">
        <v>6</v>
      </c>
      <c r="I11" s="22" t="s">
        <v>22</v>
      </c>
      <c r="J11" s="22" t="s">
        <v>16</v>
      </c>
      <c r="K11" s="22" t="s">
        <v>26</v>
      </c>
      <c r="L11" s="22" t="s">
        <v>24</v>
      </c>
      <c r="M11" s="22" t="s">
        <v>11</v>
      </c>
      <c r="N11" s="22" t="s">
        <v>26</v>
      </c>
      <c r="O11" s="22" t="s">
        <v>24</v>
      </c>
      <c r="P11" s="22" t="s">
        <v>3</v>
      </c>
      <c r="Q11" s="22" t="s">
        <v>5</v>
      </c>
      <c r="R11" s="22" t="s">
        <v>4</v>
      </c>
      <c r="S11" s="22" t="s">
        <v>5</v>
      </c>
      <c r="T11" s="22" t="s">
        <v>6</v>
      </c>
      <c r="U11" s="22" t="s">
        <v>8</v>
      </c>
      <c r="V11" s="22" t="s">
        <v>6</v>
      </c>
      <c r="W11" s="22" t="s">
        <v>12</v>
      </c>
      <c r="X11" s="22" t="s">
        <v>5</v>
      </c>
      <c r="Y11" s="22" t="s">
        <v>9</v>
      </c>
      <c r="Z11" s="22" t="s">
        <v>5</v>
      </c>
      <c r="AA11" s="22" t="s">
        <v>23</v>
      </c>
      <c r="AB11" s="22" t="s">
        <v>9</v>
      </c>
      <c r="AC11" s="22" t="s">
        <v>12</v>
      </c>
      <c r="AD11" s="22" t="s">
        <v>5</v>
      </c>
      <c r="AE11" s="22" t="s">
        <v>4</v>
      </c>
      <c r="AF11" s="22" t="s">
        <v>12</v>
      </c>
      <c r="AG11" s="22" t="s">
        <v>23</v>
      </c>
      <c r="AH11" s="22" t="s">
        <v>5</v>
      </c>
      <c r="AI11" s="22" t="s">
        <v>12</v>
      </c>
      <c r="AJ11" s="22" t="s">
        <v>23</v>
      </c>
      <c r="AK11" s="22" t="s">
        <v>7</v>
      </c>
      <c r="AL11" s="22" t="s">
        <v>5</v>
      </c>
      <c r="AM11" s="22" t="s">
        <v>4</v>
      </c>
      <c r="AN11" s="22" t="s">
        <v>22</v>
      </c>
      <c r="AO11" s="22" t="s">
        <v>5</v>
      </c>
      <c r="AP11" s="22" t="s">
        <v>11</v>
      </c>
      <c r="AQ11" s="22" t="s">
        <v>9</v>
      </c>
      <c r="AR11" s="22" t="s">
        <v>10</v>
      </c>
      <c r="AS11" s="22" t="s">
        <v>22</v>
      </c>
      <c r="AT11" s="22" t="s">
        <v>7</v>
      </c>
      <c r="AU11" s="22" t="s">
        <v>5</v>
      </c>
      <c r="AV11" s="22" t="s">
        <v>3</v>
      </c>
      <c r="AW11" s="22" t="s">
        <v>7</v>
      </c>
      <c r="AX11" s="22" t="s">
        <v>7</v>
      </c>
      <c r="AY11" s="22" t="s">
        <v>176</v>
      </c>
      <c r="AZ11" s="22" t="s">
        <v>16</v>
      </c>
    </row>
    <row r="12" spans="1:52" s="22" customFormat="1" x14ac:dyDescent="0.25">
      <c r="B12" s="22" t="s">
        <v>6</v>
      </c>
      <c r="C12" s="22" t="s">
        <v>4</v>
      </c>
      <c r="D12" s="22" t="s">
        <v>7</v>
      </c>
      <c r="E12" s="22" t="s">
        <v>16</v>
      </c>
      <c r="F12" s="22" t="s">
        <v>9</v>
      </c>
      <c r="G12" s="22" t="s">
        <v>24</v>
      </c>
      <c r="H12" s="22" t="s">
        <v>24</v>
      </c>
      <c r="I12" s="22" t="s">
        <v>12</v>
      </c>
      <c r="J12" s="22" t="s">
        <v>4</v>
      </c>
      <c r="L12" s="22" t="s">
        <v>6</v>
      </c>
      <c r="M12" s="22" t="s">
        <v>3</v>
      </c>
      <c r="N12" s="22" t="s">
        <v>24</v>
      </c>
      <c r="O12" s="22" t="s">
        <v>12</v>
      </c>
      <c r="P12" s="22" t="s">
        <v>16</v>
      </c>
      <c r="Q12" s="22" t="s">
        <v>12</v>
      </c>
      <c r="R12" s="22" t="s">
        <v>22</v>
      </c>
      <c r="S12" s="22" t="s">
        <v>12</v>
      </c>
      <c r="T12" s="22" t="s">
        <v>22</v>
      </c>
      <c r="U12" s="22" t="s">
        <v>6</v>
      </c>
      <c r="V12" s="22" t="s">
        <v>23</v>
      </c>
      <c r="W12" s="22" t="s">
        <v>11</v>
      </c>
      <c r="X12" s="22" t="s">
        <v>6</v>
      </c>
      <c r="Y12" s="22" t="s">
        <v>4</v>
      </c>
      <c r="Z12" s="22" t="s">
        <v>24</v>
      </c>
      <c r="AA12" s="22" t="s">
        <v>5</v>
      </c>
      <c r="AB12" s="22" t="s">
        <v>5</v>
      </c>
      <c r="AC12" s="22" t="s">
        <v>4</v>
      </c>
      <c r="AD12" s="22" t="s">
        <v>12</v>
      </c>
      <c r="AE12" s="22" t="s">
        <v>23</v>
      </c>
      <c r="AF12" s="22" t="s">
        <v>5</v>
      </c>
      <c r="AG12" s="22" t="s">
        <v>12</v>
      </c>
      <c r="AH12" s="22" t="s">
        <v>22</v>
      </c>
      <c r="AI12" s="22" t="s">
        <v>24</v>
      </c>
      <c r="AJ12" s="22" t="s">
        <v>10</v>
      </c>
      <c r="AK12" s="22" t="s">
        <v>22</v>
      </c>
      <c r="AL12" s="22" t="s">
        <v>18</v>
      </c>
      <c r="AM12" s="22" t="s">
        <v>9</v>
      </c>
      <c r="AN12" s="22" t="s">
        <v>9</v>
      </c>
      <c r="AO12" s="22" t="s">
        <v>4</v>
      </c>
      <c r="AP12" s="22" t="s">
        <v>9</v>
      </c>
      <c r="AQ12" s="22" t="s">
        <v>12</v>
      </c>
      <c r="AR12" s="22" t="s">
        <v>11</v>
      </c>
      <c r="AS12" s="22" t="s">
        <v>16</v>
      </c>
      <c r="AT12" s="22" t="s">
        <v>12</v>
      </c>
      <c r="AU12" s="22" t="s">
        <v>16</v>
      </c>
      <c r="AV12" s="22" t="s">
        <v>16</v>
      </c>
      <c r="AW12" s="22" t="s">
        <v>5</v>
      </c>
      <c r="AX12" s="22" t="s">
        <v>12</v>
      </c>
      <c r="AY12" s="22" t="s">
        <v>6</v>
      </c>
      <c r="AZ12" s="22" t="s">
        <v>4</v>
      </c>
    </row>
    <row r="13" spans="1:52" s="22" customFormat="1" x14ac:dyDescent="0.25">
      <c r="B13" s="22" t="s">
        <v>16</v>
      </c>
      <c r="C13" s="22" t="s">
        <v>16</v>
      </c>
      <c r="D13" s="22" t="s">
        <v>16</v>
      </c>
      <c r="E13" s="22" t="s">
        <v>24</v>
      </c>
      <c r="F13" s="22" t="s">
        <v>12</v>
      </c>
      <c r="G13" s="22" t="s">
        <v>16</v>
      </c>
      <c r="H13" s="22" t="s">
        <v>12</v>
      </c>
      <c r="I13" s="22" t="s">
        <v>6</v>
      </c>
      <c r="K13" s="22" t="s">
        <v>12</v>
      </c>
      <c r="L13" s="22" t="s">
        <v>12</v>
      </c>
      <c r="M13" s="22" t="s">
        <v>12</v>
      </c>
      <c r="R13" s="22" t="s">
        <v>16</v>
      </c>
      <c r="S13" s="22" t="s">
        <v>16</v>
      </c>
      <c r="T13" s="22" t="s">
        <v>16</v>
      </c>
      <c r="U13" s="22" t="s">
        <v>12</v>
      </c>
      <c r="V13" s="22" t="s">
        <v>18</v>
      </c>
      <c r="W13" s="22" t="s">
        <v>16</v>
      </c>
      <c r="X13" s="22" t="s">
        <v>4</v>
      </c>
      <c r="Y13" s="22" t="s">
        <v>16</v>
      </c>
      <c r="Z13" s="22" t="s">
        <v>16</v>
      </c>
      <c r="AA13" s="22" t="s">
        <v>6</v>
      </c>
      <c r="AB13" s="22" t="s">
        <v>6</v>
      </c>
      <c r="AC13" s="22" t="s">
        <v>24</v>
      </c>
      <c r="AD13" s="22" t="s">
        <v>16</v>
      </c>
      <c r="AE13" s="22" t="s">
        <v>16</v>
      </c>
      <c r="AF13" s="22" t="s">
        <v>18</v>
      </c>
      <c r="AG13" s="22" t="s">
        <v>18</v>
      </c>
      <c r="AH13" s="22" t="s">
        <v>16</v>
      </c>
      <c r="AI13" s="22" t="s">
        <v>23</v>
      </c>
      <c r="AJ13" s="22" t="s">
        <v>12</v>
      </c>
      <c r="AK13" s="22" t="s">
        <v>12</v>
      </c>
      <c r="AL13" s="22" t="s">
        <v>23</v>
      </c>
      <c r="AM13" s="22" t="s">
        <v>5</v>
      </c>
      <c r="AN13" s="22" t="s">
        <v>23</v>
      </c>
      <c r="AO13" s="22" t="s">
        <v>15</v>
      </c>
      <c r="AP13" s="22" t="s">
        <v>15</v>
      </c>
      <c r="AQ13" s="22" t="s">
        <v>11</v>
      </c>
      <c r="AR13" s="22" t="s">
        <v>12</v>
      </c>
      <c r="AS13" s="22" t="s">
        <v>12</v>
      </c>
      <c r="AT13" s="22" t="s">
        <v>18</v>
      </c>
      <c r="AU13" s="22" t="s">
        <v>4</v>
      </c>
      <c r="AV13" s="22" t="s">
        <v>5</v>
      </c>
      <c r="AW13" s="22" t="s">
        <v>12</v>
      </c>
      <c r="AX13" s="22" t="s">
        <v>6</v>
      </c>
      <c r="AZ13" s="22" t="s">
        <v>23</v>
      </c>
    </row>
    <row r="14" spans="1:52" s="32" customFormat="1" x14ac:dyDescent="0.25">
      <c r="A14" s="31" t="s">
        <v>161</v>
      </c>
      <c r="B14" s="22" t="s">
        <v>162</v>
      </c>
      <c r="C14" s="22" t="s">
        <v>163</v>
      </c>
      <c r="D14" s="22" t="s">
        <v>163</v>
      </c>
      <c r="E14" s="22" t="s">
        <v>164</v>
      </c>
      <c r="F14" s="22" t="s">
        <v>165</v>
      </c>
      <c r="G14" s="22" t="s">
        <v>166</v>
      </c>
      <c r="H14" s="22" t="s">
        <v>167</v>
      </c>
      <c r="I14" s="22" t="s">
        <v>168</v>
      </c>
      <c r="J14" s="22" t="s">
        <v>169</v>
      </c>
      <c r="K14" s="22" t="s">
        <v>170</v>
      </c>
      <c r="L14" s="22" t="s">
        <v>168</v>
      </c>
      <c r="M14" s="22" t="s">
        <v>171</v>
      </c>
      <c r="N14" s="22" t="s">
        <v>172</v>
      </c>
      <c r="O14" s="22" t="s">
        <v>171</v>
      </c>
      <c r="P14" s="22" t="s">
        <v>165</v>
      </c>
      <c r="Q14" s="22" t="s">
        <v>173</v>
      </c>
      <c r="R14" s="22" t="s">
        <v>172</v>
      </c>
      <c r="S14" s="22" t="s">
        <v>162</v>
      </c>
      <c r="T14" s="22" t="s">
        <v>165</v>
      </c>
      <c r="U14" s="22" t="s">
        <v>174</v>
      </c>
      <c r="V14" s="22" t="s">
        <v>170</v>
      </c>
      <c r="W14" s="22" t="s">
        <v>175</v>
      </c>
      <c r="X14" s="22" t="s">
        <v>165</v>
      </c>
      <c r="Y14" s="22" t="s">
        <v>171</v>
      </c>
      <c r="Z14" s="22" t="s">
        <v>176</v>
      </c>
      <c r="AA14" s="22" t="s">
        <v>165</v>
      </c>
      <c r="AB14" s="22" t="s">
        <v>162</v>
      </c>
      <c r="AC14" s="22" t="s">
        <v>162</v>
      </c>
      <c r="AD14" s="22" t="s">
        <v>176</v>
      </c>
      <c r="AE14" s="22" t="s">
        <v>164</v>
      </c>
      <c r="AF14" s="22" t="s">
        <v>177</v>
      </c>
      <c r="AG14" s="22" t="s">
        <v>173</v>
      </c>
      <c r="AH14" s="22" t="s">
        <v>173</v>
      </c>
      <c r="AI14" s="22" t="s">
        <v>178</v>
      </c>
      <c r="AJ14" s="22" t="s">
        <v>164</v>
      </c>
      <c r="AK14" s="22" t="s">
        <v>168</v>
      </c>
      <c r="AL14" s="22" t="s">
        <v>171</v>
      </c>
      <c r="AM14" s="22" t="s">
        <v>165</v>
      </c>
      <c r="AN14" s="22" t="s">
        <v>165</v>
      </c>
      <c r="AO14" s="22" t="s">
        <v>171</v>
      </c>
      <c r="AP14" s="22" t="s">
        <v>166</v>
      </c>
      <c r="AQ14" s="22" t="s">
        <v>164</v>
      </c>
      <c r="AR14" s="22" t="s">
        <v>166</v>
      </c>
      <c r="AS14" s="22" t="s">
        <v>179</v>
      </c>
      <c r="AT14" s="22" t="s">
        <v>166</v>
      </c>
      <c r="AU14" s="32" t="s">
        <v>174</v>
      </c>
      <c r="AV14" s="32" t="s">
        <v>166</v>
      </c>
      <c r="AW14" s="32" t="s">
        <v>173</v>
      </c>
      <c r="AX14" s="32" t="s">
        <v>173</v>
      </c>
      <c r="AY14" s="32" t="s">
        <v>171</v>
      </c>
      <c r="AZ14" s="32" t="s">
        <v>171</v>
      </c>
    </row>
    <row r="15" spans="1:52" s="32" customFormat="1" x14ac:dyDescent="0.25">
      <c r="B15" s="22" t="s">
        <v>165</v>
      </c>
      <c r="C15" s="22" t="s">
        <v>164</v>
      </c>
      <c r="D15" s="22" t="s">
        <v>170</v>
      </c>
      <c r="E15" s="22" t="s">
        <v>172</v>
      </c>
      <c r="F15" s="22" t="s">
        <v>172</v>
      </c>
      <c r="G15" s="22" t="s">
        <v>162</v>
      </c>
      <c r="H15" s="22" t="s">
        <v>179</v>
      </c>
      <c r="I15" s="22" t="s">
        <v>164</v>
      </c>
      <c r="J15" s="22" t="s">
        <v>172</v>
      </c>
      <c r="K15" s="22" t="s">
        <v>180</v>
      </c>
      <c r="L15" s="22" t="s">
        <v>164</v>
      </c>
      <c r="M15" s="22" t="s">
        <v>179</v>
      </c>
      <c r="N15" s="22" t="s">
        <v>167</v>
      </c>
      <c r="O15" s="22" t="s">
        <v>180</v>
      </c>
      <c r="P15" s="22" t="s">
        <v>170</v>
      </c>
      <c r="Q15" s="22" t="s">
        <v>172</v>
      </c>
      <c r="R15" s="22" t="s">
        <v>164</v>
      </c>
      <c r="S15" s="22" t="s">
        <v>175</v>
      </c>
      <c r="T15" s="22" t="s">
        <v>172</v>
      </c>
      <c r="U15" s="22" t="s">
        <v>179</v>
      </c>
      <c r="V15" s="22" t="s">
        <v>174</v>
      </c>
      <c r="W15" s="22" t="s">
        <v>165</v>
      </c>
      <c r="X15" s="22" t="s">
        <v>173</v>
      </c>
      <c r="Y15" s="22" t="s">
        <v>172</v>
      </c>
      <c r="Z15" s="22" t="s">
        <v>172</v>
      </c>
      <c r="AA15" s="22" t="s">
        <v>162</v>
      </c>
      <c r="AB15" s="22" t="s">
        <v>165</v>
      </c>
      <c r="AC15" s="22" t="s">
        <v>163</v>
      </c>
      <c r="AD15" s="22" t="s">
        <v>175</v>
      </c>
      <c r="AE15" s="22" t="s">
        <v>181</v>
      </c>
      <c r="AF15" s="22" t="s">
        <v>168</v>
      </c>
      <c r="AG15" s="22" t="s">
        <v>179</v>
      </c>
      <c r="AH15" s="22" t="s">
        <v>165</v>
      </c>
      <c r="AI15" s="22" t="s">
        <v>170</v>
      </c>
      <c r="AJ15" s="22" t="s">
        <v>181</v>
      </c>
      <c r="AK15" s="22" t="s">
        <v>173</v>
      </c>
      <c r="AL15" s="22" t="s">
        <v>164</v>
      </c>
      <c r="AM15" s="22" t="s">
        <v>164</v>
      </c>
      <c r="AN15" s="22" t="s">
        <v>171</v>
      </c>
      <c r="AO15" s="22" t="s">
        <v>176</v>
      </c>
      <c r="AP15" s="22" t="s">
        <v>167</v>
      </c>
      <c r="AQ15" s="22" t="s">
        <v>166</v>
      </c>
      <c r="AR15" s="22" t="s">
        <v>169</v>
      </c>
      <c r="AS15" s="22" t="s">
        <v>171</v>
      </c>
      <c r="AT15" s="22" t="s">
        <v>165</v>
      </c>
      <c r="AU15" s="32" t="s">
        <v>162</v>
      </c>
      <c r="AV15" s="32" t="s">
        <v>173</v>
      </c>
      <c r="AW15" s="32" t="s">
        <v>180</v>
      </c>
      <c r="AX15" s="32" t="s">
        <v>176</v>
      </c>
      <c r="AY15" s="32" t="s">
        <v>162</v>
      </c>
      <c r="AZ15" s="32" t="s">
        <v>164</v>
      </c>
    </row>
    <row r="16" spans="1:52" s="32" customFormat="1" x14ac:dyDescent="0.25">
      <c r="B16" s="22" t="s">
        <v>179</v>
      </c>
      <c r="C16" s="22" t="s">
        <v>175</v>
      </c>
      <c r="D16" s="22" t="s">
        <v>173</v>
      </c>
      <c r="E16" s="22" t="s">
        <v>177</v>
      </c>
      <c r="F16" s="22" t="s">
        <v>179</v>
      </c>
      <c r="G16" s="22" t="s">
        <v>176</v>
      </c>
      <c r="H16" s="22" t="s">
        <v>169</v>
      </c>
      <c r="I16" s="22" t="s">
        <v>172</v>
      </c>
      <c r="J16" s="22" t="s">
        <v>181</v>
      </c>
      <c r="K16" s="22" t="s">
        <v>172</v>
      </c>
      <c r="L16" s="22" t="s">
        <v>169</v>
      </c>
      <c r="M16" s="22" t="s">
        <v>162</v>
      </c>
      <c r="N16" s="22" t="s">
        <v>169</v>
      </c>
      <c r="O16" s="22" t="s">
        <v>175</v>
      </c>
      <c r="P16" s="22" t="s">
        <v>173</v>
      </c>
      <c r="R16" s="22" t="s">
        <v>163</v>
      </c>
      <c r="S16" s="22" t="s">
        <v>171</v>
      </c>
      <c r="T16" s="22" t="s">
        <v>164</v>
      </c>
      <c r="U16" s="22" t="s">
        <v>162</v>
      </c>
      <c r="V16" s="22" t="s">
        <v>181</v>
      </c>
      <c r="W16" s="22" t="s">
        <v>163</v>
      </c>
      <c r="X16" s="22" t="s">
        <v>163</v>
      </c>
      <c r="Y16" s="22" t="s">
        <v>166</v>
      </c>
      <c r="Z16" s="22" t="s">
        <v>173</v>
      </c>
      <c r="AA16" s="22" t="s">
        <v>173</v>
      </c>
      <c r="AB16" s="22" t="s">
        <v>173</v>
      </c>
      <c r="AC16" s="22" t="s">
        <v>176</v>
      </c>
      <c r="AD16" s="22" t="s">
        <v>172</v>
      </c>
      <c r="AE16" s="22" t="s">
        <v>172</v>
      </c>
      <c r="AF16" s="22" t="s">
        <v>181</v>
      </c>
      <c r="AG16" s="22" t="s">
        <v>165</v>
      </c>
      <c r="AH16" s="22" t="s">
        <v>162</v>
      </c>
      <c r="AI16" s="22" t="s">
        <v>163</v>
      </c>
      <c r="AJ16" s="22" t="s">
        <v>169</v>
      </c>
      <c r="AK16" s="22" t="s">
        <v>170</v>
      </c>
      <c r="AL16" s="22" t="s">
        <v>166</v>
      </c>
      <c r="AM16" s="22" t="s">
        <v>173</v>
      </c>
      <c r="AN16" s="22" t="s">
        <v>174</v>
      </c>
      <c r="AO16" s="22" t="s">
        <v>173</v>
      </c>
      <c r="AP16" s="22" t="s">
        <v>174</v>
      </c>
      <c r="AQ16" s="22" t="s">
        <v>177</v>
      </c>
      <c r="AR16" s="22" t="s">
        <v>164</v>
      </c>
      <c r="AS16" s="22" t="s">
        <v>165</v>
      </c>
      <c r="AT16" s="22" t="s">
        <v>162</v>
      </c>
      <c r="AU16" s="32" t="s">
        <v>172</v>
      </c>
      <c r="AV16" s="32" t="s">
        <v>170</v>
      </c>
      <c r="AW16" s="32" t="s">
        <v>168</v>
      </c>
      <c r="AX16" s="32" t="s">
        <v>181</v>
      </c>
      <c r="AY16" s="32" t="s">
        <v>176</v>
      </c>
      <c r="AZ16" s="32" t="s">
        <v>173</v>
      </c>
    </row>
    <row r="17" spans="1:52" s="32" customFormat="1" x14ac:dyDescent="0.25">
      <c r="B17" s="22" t="s">
        <v>175</v>
      </c>
      <c r="C17" s="22" t="s">
        <v>172</v>
      </c>
      <c r="D17" s="22" t="s">
        <v>172</v>
      </c>
      <c r="E17" s="22" t="s">
        <v>162</v>
      </c>
      <c r="F17" s="22" t="s">
        <v>162</v>
      </c>
      <c r="G17" s="22" t="s">
        <v>179</v>
      </c>
      <c r="H17" s="22" t="s">
        <v>173</v>
      </c>
      <c r="I17" s="22" t="s">
        <v>173</v>
      </c>
      <c r="J17" s="22" t="s">
        <v>167</v>
      </c>
      <c r="K17" s="22" t="s">
        <v>171</v>
      </c>
      <c r="L17" s="22" t="s">
        <v>175</v>
      </c>
      <c r="M17" s="22" t="s">
        <v>165</v>
      </c>
      <c r="N17" s="22" t="s">
        <v>179</v>
      </c>
      <c r="O17" s="22" t="s">
        <v>172</v>
      </c>
      <c r="P17" s="22" t="s">
        <v>172</v>
      </c>
      <c r="Q17" s="22" t="s">
        <v>164</v>
      </c>
      <c r="R17" s="22" t="s">
        <v>175</v>
      </c>
      <c r="S17" s="22" t="s">
        <v>170</v>
      </c>
      <c r="T17" s="22" t="s">
        <v>176</v>
      </c>
      <c r="U17" s="22" t="s">
        <v>168</v>
      </c>
      <c r="V17" s="22" t="s">
        <v>172</v>
      </c>
      <c r="W17" s="22" t="s">
        <v>169</v>
      </c>
      <c r="X17" s="22" t="s">
        <v>164</v>
      </c>
      <c r="Y17" s="22" t="s">
        <v>170</v>
      </c>
      <c r="Z17" s="22" t="s">
        <v>177</v>
      </c>
      <c r="AA17" s="22" t="s">
        <v>176</v>
      </c>
      <c r="AB17" s="22" t="s">
        <v>176</v>
      </c>
      <c r="AC17" s="22" t="s">
        <v>172</v>
      </c>
      <c r="AD17" s="22" t="s">
        <v>162</v>
      </c>
      <c r="AE17" s="22" t="s">
        <v>174</v>
      </c>
      <c r="AF17" s="22" t="s">
        <v>179</v>
      </c>
      <c r="AG17" s="22" t="s">
        <v>170</v>
      </c>
      <c r="AH17" s="22" t="s">
        <v>176</v>
      </c>
      <c r="AI17" s="22" t="s">
        <v>169</v>
      </c>
      <c r="AJ17" s="22" t="s">
        <v>172</v>
      </c>
      <c r="AK17" s="22" t="s">
        <v>163</v>
      </c>
      <c r="AL17" s="22" t="s">
        <v>176</v>
      </c>
      <c r="AM17" s="22" t="s">
        <v>176</v>
      </c>
      <c r="AN17" s="22" t="s">
        <v>176</v>
      </c>
      <c r="AO17" s="22" t="s">
        <v>164</v>
      </c>
      <c r="AP17" s="22" t="s">
        <v>171</v>
      </c>
      <c r="AQ17" s="22" t="s">
        <v>180</v>
      </c>
      <c r="AR17" s="22" t="s">
        <v>172</v>
      </c>
      <c r="AS17" s="22" t="s">
        <v>170</v>
      </c>
      <c r="AT17" s="22" t="s">
        <v>180</v>
      </c>
      <c r="AU17" s="32" t="s">
        <v>176</v>
      </c>
      <c r="AV17" s="32" t="s">
        <v>176</v>
      </c>
      <c r="AW17" s="32" t="s">
        <v>172</v>
      </c>
      <c r="AX17" s="32" t="s">
        <v>170</v>
      </c>
      <c r="AY17" s="32" t="s">
        <v>172</v>
      </c>
      <c r="AZ17" s="32" t="s">
        <v>172</v>
      </c>
    </row>
    <row r="18" spans="1:52" s="20" customFormat="1" x14ac:dyDescent="0.25">
      <c r="B18" s="20" t="s">
        <v>176</v>
      </c>
      <c r="C18" s="20" t="s">
        <v>176</v>
      </c>
      <c r="D18" s="20" t="s">
        <v>176</v>
      </c>
      <c r="F18" s="20" t="s">
        <v>171</v>
      </c>
      <c r="G18" s="20" t="s">
        <v>172</v>
      </c>
      <c r="H18" s="20" t="s">
        <v>174</v>
      </c>
      <c r="J18" s="20" t="s">
        <v>175</v>
      </c>
      <c r="K18" s="20" t="s">
        <v>169</v>
      </c>
      <c r="L18" s="20" t="s">
        <v>172</v>
      </c>
      <c r="M18" s="20" t="s">
        <v>173</v>
      </c>
      <c r="N18" s="20" t="s">
        <v>175</v>
      </c>
      <c r="O18" s="20" t="s">
        <v>177</v>
      </c>
      <c r="P18" s="20" t="s">
        <v>176</v>
      </c>
      <c r="Q18" s="20" t="s">
        <v>180</v>
      </c>
      <c r="R18" s="20" t="s">
        <v>176</v>
      </c>
      <c r="S18" s="20" t="s">
        <v>179</v>
      </c>
      <c r="T18" s="20" t="s">
        <v>179</v>
      </c>
      <c r="U18" s="20" t="s">
        <v>172</v>
      </c>
      <c r="V18" s="20" t="s">
        <v>176</v>
      </c>
      <c r="W18" s="20" t="s">
        <v>162</v>
      </c>
      <c r="X18" s="20" t="s">
        <v>176</v>
      </c>
      <c r="Y18" s="20" t="s">
        <v>176</v>
      </c>
      <c r="Z18" s="20" t="s">
        <v>163</v>
      </c>
      <c r="AA18" s="20" t="s">
        <v>172</v>
      </c>
      <c r="AB18" s="20" t="s">
        <v>172</v>
      </c>
      <c r="AC18" s="20" t="s">
        <v>181</v>
      </c>
      <c r="AE18" s="20" t="s">
        <v>176</v>
      </c>
      <c r="AF18" s="20" t="s">
        <v>172</v>
      </c>
      <c r="AG18" s="20" t="s">
        <v>172</v>
      </c>
      <c r="AH18" s="20" t="s">
        <v>164</v>
      </c>
      <c r="AI18" s="20" t="s">
        <v>181</v>
      </c>
      <c r="AJ18" s="20" t="s">
        <v>166</v>
      </c>
      <c r="AK18" s="20" t="s">
        <v>172</v>
      </c>
      <c r="AL18" s="20" t="s">
        <v>172</v>
      </c>
      <c r="AO18" s="20" t="s">
        <v>172</v>
      </c>
      <c r="AP18" s="20" t="s">
        <v>172</v>
      </c>
      <c r="AQ18" s="20" t="s">
        <v>170</v>
      </c>
      <c r="AR18" s="20" t="s">
        <v>174</v>
      </c>
      <c r="AS18" s="20" t="s">
        <v>164</v>
      </c>
      <c r="AT18" s="20" t="s">
        <v>172</v>
      </c>
      <c r="AU18" s="20" t="s">
        <v>173</v>
      </c>
      <c r="AV18" s="20" t="s">
        <v>180</v>
      </c>
      <c r="AW18" s="20" t="s">
        <v>181</v>
      </c>
      <c r="AX18" s="20" t="s">
        <v>172</v>
      </c>
      <c r="AY18" s="20" t="s">
        <v>181</v>
      </c>
      <c r="AZ18" s="20" t="s">
        <v>176</v>
      </c>
    </row>
    <row r="19" spans="1:52" s="32" customFormat="1" x14ac:dyDescent="0.25">
      <c r="A19" s="31" t="s">
        <v>182</v>
      </c>
      <c r="B19" s="22" t="s">
        <v>167</v>
      </c>
      <c r="C19" s="22" t="s">
        <v>168</v>
      </c>
      <c r="E19" s="22" t="s">
        <v>171</v>
      </c>
      <c r="F19" s="22" t="s">
        <v>170</v>
      </c>
      <c r="G19" s="22" t="s">
        <v>167</v>
      </c>
      <c r="H19" s="22" t="s">
        <v>167</v>
      </c>
      <c r="I19" s="22" t="s">
        <v>179</v>
      </c>
      <c r="J19" s="22" t="s">
        <v>168</v>
      </c>
      <c r="K19" s="22" t="s">
        <v>179</v>
      </c>
      <c r="L19" s="22" t="s">
        <v>168</v>
      </c>
      <c r="M19" s="22" t="s">
        <v>167</v>
      </c>
      <c r="N19" s="22" t="s">
        <v>171</v>
      </c>
      <c r="O19" s="22" t="s">
        <v>171</v>
      </c>
      <c r="P19" s="22" t="s">
        <v>169</v>
      </c>
      <c r="Q19" s="22" t="s">
        <v>165</v>
      </c>
      <c r="R19" s="22" t="s">
        <v>165</v>
      </c>
      <c r="S19" s="22" t="s">
        <v>181</v>
      </c>
      <c r="T19" s="22" t="s">
        <v>164</v>
      </c>
      <c r="U19" s="22" t="s">
        <v>163</v>
      </c>
      <c r="V19" s="22" t="s">
        <v>173</v>
      </c>
      <c r="W19" s="22" t="s">
        <v>165</v>
      </c>
      <c r="X19" s="22" t="s">
        <v>175</v>
      </c>
      <c r="Y19" s="22" t="s">
        <v>167</v>
      </c>
      <c r="Z19" s="22" t="s">
        <v>176</v>
      </c>
      <c r="AA19" s="22" t="s">
        <v>173</v>
      </c>
      <c r="AB19" s="22" t="s">
        <v>165</v>
      </c>
      <c r="AC19" s="22" t="s">
        <v>173</v>
      </c>
      <c r="AD19" s="22" t="s">
        <v>169</v>
      </c>
      <c r="AE19" s="22" t="s">
        <v>168</v>
      </c>
      <c r="AF19" s="22" t="s">
        <v>173</v>
      </c>
      <c r="AG19" s="22" t="s">
        <v>173</v>
      </c>
      <c r="AH19" s="22" t="s">
        <v>169</v>
      </c>
      <c r="AI19" s="22" t="s">
        <v>164</v>
      </c>
      <c r="AJ19" s="22" t="s">
        <v>179</v>
      </c>
      <c r="AK19" s="22" t="s">
        <v>171</v>
      </c>
      <c r="AL19" s="22" t="s">
        <v>168</v>
      </c>
      <c r="AM19" s="22" t="s">
        <v>172</v>
      </c>
      <c r="AN19" s="22" t="s">
        <v>176</v>
      </c>
      <c r="AO19" s="22" t="s">
        <v>168</v>
      </c>
      <c r="AP19" s="22" t="s">
        <v>179</v>
      </c>
      <c r="AQ19" s="22" t="s">
        <v>171</v>
      </c>
      <c r="AR19" s="22" t="s">
        <v>167</v>
      </c>
      <c r="AS19" s="22" t="s">
        <v>174</v>
      </c>
      <c r="AT19" s="22" t="s">
        <v>163</v>
      </c>
      <c r="AU19" s="32" t="s">
        <v>166</v>
      </c>
      <c r="AV19" s="32" t="s">
        <v>162</v>
      </c>
      <c r="AW19" s="32" t="s">
        <v>179</v>
      </c>
      <c r="AX19" s="32" t="s">
        <v>171</v>
      </c>
      <c r="AY19" s="32" t="s">
        <v>173</v>
      </c>
      <c r="AZ19" s="32" t="s">
        <v>168</v>
      </c>
    </row>
    <row r="20" spans="1:52" s="32" customFormat="1" x14ac:dyDescent="0.25">
      <c r="B20" s="22" t="s">
        <v>173</v>
      </c>
      <c r="C20" s="22" t="s">
        <v>181</v>
      </c>
      <c r="D20" s="22" t="s">
        <v>170</v>
      </c>
      <c r="E20" s="22" t="s">
        <v>162</v>
      </c>
      <c r="F20" s="22" t="s">
        <v>177</v>
      </c>
      <c r="G20" s="22" t="s">
        <v>177</v>
      </c>
      <c r="H20" s="22" t="s">
        <v>179</v>
      </c>
      <c r="I20" s="22" t="s">
        <v>175</v>
      </c>
      <c r="J20" s="22" t="s">
        <v>173</v>
      </c>
      <c r="K20" s="22" t="s">
        <v>162</v>
      </c>
      <c r="L20" s="22" t="s">
        <v>167</v>
      </c>
      <c r="M20" s="22" t="s">
        <v>172</v>
      </c>
      <c r="N20" s="22" t="s">
        <v>172</v>
      </c>
      <c r="O20" s="22" t="s">
        <v>173</v>
      </c>
      <c r="P20" s="22" t="s">
        <v>181</v>
      </c>
      <c r="Q20" s="22" t="s">
        <v>172</v>
      </c>
      <c r="R20" s="22" t="s">
        <v>173</v>
      </c>
      <c r="S20" s="22" t="s">
        <v>179</v>
      </c>
      <c r="T20" s="22" t="s">
        <v>168</v>
      </c>
      <c r="U20" s="22" t="s">
        <v>162</v>
      </c>
      <c r="V20" s="22" t="s">
        <v>170</v>
      </c>
      <c r="W20" s="22" t="s">
        <v>164</v>
      </c>
      <c r="X20" s="22" t="s">
        <v>171</v>
      </c>
      <c r="Y20" s="22" t="s">
        <v>166</v>
      </c>
      <c r="Z20" s="22" t="s">
        <v>177</v>
      </c>
      <c r="AA20" s="22" t="s">
        <v>179</v>
      </c>
      <c r="AB20" s="22" t="s">
        <v>172</v>
      </c>
      <c r="AC20" s="22" t="s">
        <v>165</v>
      </c>
      <c r="AD20" s="22" t="s">
        <v>177</v>
      </c>
      <c r="AE20" s="22" t="s">
        <v>177</v>
      </c>
      <c r="AF20" s="22" t="s">
        <v>168</v>
      </c>
      <c r="AG20" s="22" t="s">
        <v>177</v>
      </c>
      <c r="AH20" s="22" t="s">
        <v>181</v>
      </c>
      <c r="AI20" s="22" t="s">
        <v>180</v>
      </c>
      <c r="AJ20" s="22" t="s">
        <v>171</v>
      </c>
      <c r="AK20" s="22" t="s">
        <v>169</v>
      </c>
      <c r="AL20" s="22" t="s">
        <v>165</v>
      </c>
      <c r="AM20" s="22" t="s">
        <v>164</v>
      </c>
      <c r="AN20" s="22" t="s">
        <v>167</v>
      </c>
      <c r="AO20" s="22" t="s">
        <v>181</v>
      </c>
      <c r="AP20" s="22" t="s">
        <v>169</v>
      </c>
      <c r="AQ20" s="22" t="s">
        <v>173</v>
      </c>
      <c r="AR20" s="22" t="s">
        <v>171</v>
      </c>
      <c r="AS20" s="22" t="s">
        <v>163</v>
      </c>
      <c r="AT20" s="22" t="s">
        <v>166</v>
      </c>
      <c r="AU20" s="32" t="s">
        <v>171</v>
      </c>
      <c r="AV20" s="32" t="s">
        <v>169</v>
      </c>
      <c r="AW20" s="32" t="s">
        <v>164</v>
      </c>
      <c r="AX20" s="32" t="s">
        <v>170</v>
      </c>
      <c r="AY20" s="32" t="s">
        <v>164</v>
      </c>
      <c r="AZ20" s="32" t="s">
        <v>162</v>
      </c>
    </row>
    <row r="21" spans="1:52" s="32" customFormat="1" x14ac:dyDescent="0.25">
      <c r="B21" s="22" t="s">
        <v>165</v>
      </c>
      <c r="C21" s="22" t="s">
        <v>167</v>
      </c>
      <c r="E21" s="22" t="s">
        <v>163</v>
      </c>
      <c r="F21" s="22" t="s">
        <v>164</v>
      </c>
      <c r="G21" s="22" t="s">
        <v>168</v>
      </c>
      <c r="H21" s="22" t="s">
        <v>174</v>
      </c>
      <c r="I21" s="22" t="s">
        <v>177</v>
      </c>
      <c r="J21" s="22" t="s">
        <v>172</v>
      </c>
      <c r="K21" s="22" t="s">
        <v>172</v>
      </c>
      <c r="L21" s="22" t="s">
        <v>172</v>
      </c>
      <c r="M21" s="22" t="s">
        <v>173</v>
      </c>
      <c r="N21" s="22" t="s">
        <v>175</v>
      </c>
      <c r="O21" s="22" t="s">
        <v>172</v>
      </c>
      <c r="P21" s="22" t="s">
        <v>173</v>
      </c>
      <c r="Q21" s="22" t="s">
        <v>167</v>
      </c>
      <c r="R21" s="22" t="s">
        <v>179</v>
      </c>
      <c r="S21" s="22" t="s">
        <v>162</v>
      </c>
      <c r="T21" s="22" t="s">
        <v>181</v>
      </c>
      <c r="U21" s="22" t="s">
        <v>168</v>
      </c>
      <c r="V21" s="22" t="s">
        <v>163</v>
      </c>
      <c r="W21" s="22" t="s">
        <v>176</v>
      </c>
      <c r="X21" s="22" t="s">
        <v>167</v>
      </c>
      <c r="Y21" s="22" t="s">
        <v>168</v>
      </c>
      <c r="Z21" s="22" t="s">
        <v>173</v>
      </c>
      <c r="AA21" s="22" t="s">
        <v>165</v>
      </c>
      <c r="AB21" s="22" t="s">
        <v>175</v>
      </c>
      <c r="AC21" s="22" t="s">
        <v>176</v>
      </c>
      <c r="AD21" s="22" t="s">
        <v>166</v>
      </c>
      <c r="AE21" s="22" t="s">
        <v>180</v>
      </c>
      <c r="AF21" s="22" t="s">
        <v>176</v>
      </c>
      <c r="AG21" s="22" t="s">
        <v>170</v>
      </c>
      <c r="AH21" s="22" t="s">
        <v>164</v>
      </c>
      <c r="AI21" s="22" t="s">
        <v>176</v>
      </c>
      <c r="AJ21" s="22" t="s">
        <v>164</v>
      </c>
      <c r="AK21" s="22" t="s">
        <v>164</v>
      </c>
      <c r="AL21" s="22" t="s">
        <v>170</v>
      </c>
      <c r="AM21" s="22" t="s">
        <v>179</v>
      </c>
      <c r="AN21" s="22" t="s">
        <v>178</v>
      </c>
      <c r="AO21" s="22" t="s">
        <v>167</v>
      </c>
      <c r="AP21" s="22" t="s">
        <v>173</v>
      </c>
      <c r="AQ21" s="22" t="s">
        <v>168</v>
      </c>
      <c r="AR21" s="22" t="s">
        <v>180</v>
      </c>
      <c r="AS21" s="22" t="s">
        <v>170</v>
      </c>
      <c r="AT21" s="22" t="s">
        <v>171</v>
      </c>
      <c r="AU21" s="32" t="s">
        <v>169</v>
      </c>
      <c r="AV21" s="32" t="s">
        <v>166</v>
      </c>
      <c r="AW21" s="32" t="s">
        <v>174</v>
      </c>
      <c r="AX21" s="32" t="s">
        <v>181</v>
      </c>
      <c r="AY21" s="32" t="s">
        <v>176</v>
      </c>
      <c r="AZ21" s="32" t="s">
        <v>172</v>
      </c>
    </row>
    <row r="22" spans="1:52" s="32" customFormat="1" x14ac:dyDescent="0.25">
      <c r="B22" s="22" t="s">
        <v>181</v>
      </c>
      <c r="C22" s="22" t="s">
        <v>179</v>
      </c>
      <c r="D22" s="32" t="s">
        <v>176</v>
      </c>
      <c r="E22" s="22" t="s">
        <v>169</v>
      </c>
      <c r="F22" s="22" t="s">
        <v>167</v>
      </c>
      <c r="G22" s="22" t="s">
        <v>173</v>
      </c>
      <c r="H22" s="22" t="s">
        <v>169</v>
      </c>
      <c r="I22" s="22" t="s">
        <v>176</v>
      </c>
      <c r="J22" s="22" t="s">
        <v>164</v>
      </c>
      <c r="L22" s="22" t="s">
        <v>181</v>
      </c>
      <c r="M22" s="22" t="s">
        <v>171</v>
      </c>
      <c r="N22" s="22" t="s">
        <v>163</v>
      </c>
      <c r="O22" s="22" t="s">
        <v>165</v>
      </c>
      <c r="P22" s="22" t="s">
        <v>172</v>
      </c>
      <c r="Q22" s="22" t="s">
        <v>176</v>
      </c>
      <c r="R22" s="22" t="s">
        <v>162</v>
      </c>
      <c r="S22" s="22" t="s">
        <v>176</v>
      </c>
      <c r="T22" s="22" t="s">
        <v>171</v>
      </c>
      <c r="U22" s="22" t="s">
        <v>181</v>
      </c>
      <c r="V22" s="22" t="s">
        <v>176</v>
      </c>
      <c r="W22" s="22" t="s">
        <v>173</v>
      </c>
      <c r="X22" s="22" t="s">
        <v>170</v>
      </c>
      <c r="Y22" s="22" t="s">
        <v>179</v>
      </c>
      <c r="Z22" s="22" t="s">
        <v>165</v>
      </c>
      <c r="AA22" s="22" t="s">
        <v>164</v>
      </c>
      <c r="AB22" s="22" t="s">
        <v>167</v>
      </c>
      <c r="AC22" s="22" t="s">
        <v>179</v>
      </c>
      <c r="AD22" s="22" t="s">
        <v>12</v>
      </c>
      <c r="AE22" s="22" t="s">
        <v>176</v>
      </c>
      <c r="AF22" s="22" t="s">
        <v>180</v>
      </c>
      <c r="AG22" s="22" t="s">
        <v>176</v>
      </c>
      <c r="AH22" s="22" t="s">
        <v>166</v>
      </c>
      <c r="AI22" s="22" t="s">
        <v>175</v>
      </c>
      <c r="AJ22" s="22" t="s">
        <v>172</v>
      </c>
      <c r="AK22" s="22" t="s">
        <v>177</v>
      </c>
      <c r="AL22" s="22" t="s">
        <v>164</v>
      </c>
      <c r="AM22" s="22" t="s">
        <v>168</v>
      </c>
      <c r="AN22" s="22" t="s">
        <v>163</v>
      </c>
      <c r="AO22" s="22" t="s">
        <v>170</v>
      </c>
      <c r="AP22" s="22" t="s">
        <v>164</v>
      </c>
      <c r="AQ22" s="22" t="s">
        <v>170</v>
      </c>
      <c r="AR22" s="22" t="s">
        <v>163</v>
      </c>
      <c r="AS22" s="22" t="s">
        <v>172</v>
      </c>
      <c r="AT22" s="22" t="s">
        <v>176</v>
      </c>
      <c r="AU22" s="32" t="s">
        <v>172</v>
      </c>
      <c r="AV22" s="32" t="s">
        <v>172</v>
      </c>
      <c r="AW22" s="32" t="s">
        <v>166</v>
      </c>
      <c r="AX22" s="32" t="s">
        <v>176</v>
      </c>
      <c r="AY22" s="32" t="s">
        <v>181</v>
      </c>
      <c r="AZ22" s="32" t="s">
        <v>166</v>
      </c>
    </row>
    <row r="23" spans="1:52" s="20" customFormat="1" x14ac:dyDescent="0.25">
      <c r="B23" s="20" t="s">
        <v>172</v>
      </c>
      <c r="C23" s="20" t="s">
        <v>172</v>
      </c>
      <c r="D23" s="20" t="s">
        <v>172</v>
      </c>
      <c r="E23" s="20" t="s">
        <v>172</v>
      </c>
      <c r="F23" s="20" t="s">
        <v>162</v>
      </c>
      <c r="G23" s="20" t="s">
        <v>172</v>
      </c>
      <c r="H23" s="20" t="s">
        <v>173</v>
      </c>
      <c r="I23" s="20" t="s">
        <v>172</v>
      </c>
      <c r="K23" s="20" t="s">
        <v>163</v>
      </c>
      <c r="L23" s="20" t="s">
        <v>176</v>
      </c>
      <c r="M23" s="20" t="s">
        <v>176</v>
      </c>
      <c r="R23" s="20" t="s">
        <v>172</v>
      </c>
      <c r="S23" s="20" t="s">
        <v>172</v>
      </c>
      <c r="T23" s="20" t="s">
        <v>172</v>
      </c>
      <c r="U23" s="20" t="s">
        <v>176</v>
      </c>
      <c r="V23" s="20" t="s">
        <v>164</v>
      </c>
      <c r="W23" s="20" t="s">
        <v>172</v>
      </c>
      <c r="X23" s="20" t="s">
        <v>179</v>
      </c>
      <c r="Y23" s="20" t="s">
        <v>172</v>
      </c>
      <c r="Z23" s="20" t="s">
        <v>172</v>
      </c>
      <c r="AA23" s="20" t="s">
        <v>181</v>
      </c>
      <c r="AB23" s="20" t="s">
        <v>163</v>
      </c>
      <c r="AC23" s="20" t="s">
        <v>162</v>
      </c>
      <c r="AD23" s="20" t="s">
        <v>172</v>
      </c>
      <c r="AE23" s="20" t="s">
        <v>172</v>
      </c>
      <c r="AF23" s="20" t="s">
        <v>164</v>
      </c>
      <c r="AG23" s="20" t="s">
        <v>164</v>
      </c>
      <c r="AH23" s="20" t="s">
        <v>172</v>
      </c>
      <c r="AI23" s="20" t="s">
        <v>165</v>
      </c>
      <c r="AJ23" s="20" t="s">
        <v>176</v>
      </c>
      <c r="AK23" s="20" t="s">
        <v>176</v>
      </c>
      <c r="AL23" s="20" t="s">
        <v>181</v>
      </c>
      <c r="AM23" s="20" t="s">
        <v>181</v>
      </c>
      <c r="AN23" s="20" t="s">
        <v>165</v>
      </c>
      <c r="AO23" s="20" t="s">
        <v>172</v>
      </c>
      <c r="AP23" s="20" t="s">
        <v>172</v>
      </c>
      <c r="AQ23" s="20" t="s">
        <v>179</v>
      </c>
      <c r="AR23" s="20" t="s">
        <v>176</v>
      </c>
      <c r="AS23" s="20" t="s">
        <v>176</v>
      </c>
      <c r="AT23" s="20" t="s">
        <v>164</v>
      </c>
      <c r="AU23" s="20" t="s">
        <v>180</v>
      </c>
      <c r="AV23" s="20" t="s">
        <v>181</v>
      </c>
      <c r="AW23" s="20" t="s">
        <v>176</v>
      </c>
      <c r="AX23" s="20" t="s">
        <v>172</v>
      </c>
      <c r="AZ23" s="20" t="s">
        <v>180</v>
      </c>
    </row>
    <row r="24" spans="1:52" s="2" customFormat="1" x14ac:dyDescent="0.25">
      <c r="Q24" s="29"/>
      <c r="R24" s="29"/>
      <c r="V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</row>
    <row r="26" spans="1:52" x14ac:dyDescent="0.25">
      <c r="A26" s="3" t="s">
        <v>36</v>
      </c>
    </row>
    <row r="27" spans="1:52" ht="15.75" thickBot="1" x14ac:dyDescent="0.3">
      <c r="A27" s="3" t="s">
        <v>27</v>
      </c>
      <c r="B27" s="1" t="s">
        <v>37</v>
      </c>
      <c r="C27" s="1" t="s">
        <v>30</v>
      </c>
      <c r="D27" s="1" t="s">
        <v>31</v>
      </c>
    </row>
    <row r="28" spans="1:52" ht="15.75" thickBot="1" x14ac:dyDescent="0.3">
      <c r="A28" s="1" t="s">
        <v>3</v>
      </c>
      <c r="B28" s="7">
        <v>0.55555555555555558</v>
      </c>
      <c r="C28" s="1">
        <v>25</v>
      </c>
      <c r="D28" s="8">
        <v>45</v>
      </c>
      <c r="M28" s="41" t="s">
        <v>40</v>
      </c>
      <c r="N28" s="42"/>
      <c r="AS28" s="2"/>
      <c r="AT28" s="5"/>
    </row>
    <row r="29" spans="1:52" x14ac:dyDescent="0.25">
      <c r="A29" s="1" t="s">
        <v>18</v>
      </c>
      <c r="B29" s="7">
        <v>0.33333333333333331</v>
      </c>
      <c r="C29" s="1">
        <v>3</v>
      </c>
      <c r="D29" s="8">
        <v>9</v>
      </c>
      <c r="M29" s="35"/>
      <c r="N29" s="36"/>
      <c r="AS29" s="2"/>
      <c r="AT29" s="5"/>
    </row>
    <row r="30" spans="1:52" x14ac:dyDescent="0.25">
      <c r="A30" s="1" t="s">
        <v>16</v>
      </c>
      <c r="B30" s="7">
        <v>0.4358974358974359</v>
      </c>
      <c r="C30" s="1">
        <v>17</v>
      </c>
      <c r="D30" s="8">
        <v>39</v>
      </c>
      <c r="M30" s="37"/>
      <c r="N30" s="38"/>
      <c r="AS30" s="2"/>
      <c r="AT30" s="5"/>
    </row>
    <row r="31" spans="1:52" x14ac:dyDescent="0.25">
      <c r="A31" s="1" t="s">
        <v>22</v>
      </c>
      <c r="B31" s="7">
        <v>0.46153846153846156</v>
      </c>
      <c r="C31" s="1">
        <v>18</v>
      </c>
      <c r="D31" s="8">
        <v>39</v>
      </c>
      <c r="M31" s="37"/>
      <c r="N31" s="38"/>
      <c r="AS31" s="2"/>
      <c r="AT31" s="5"/>
    </row>
    <row r="32" spans="1:52" ht="15.75" thickBot="1" x14ac:dyDescent="0.3">
      <c r="A32" s="1" t="s">
        <v>4</v>
      </c>
      <c r="B32" s="7">
        <v>0.59183673469387754</v>
      </c>
      <c r="C32" s="1">
        <v>29</v>
      </c>
      <c r="D32" s="8">
        <v>49</v>
      </c>
      <c r="M32" s="39"/>
      <c r="N32" s="40"/>
      <c r="AS32" s="2"/>
      <c r="AT32" s="5"/>
    </row>
    <row r="33" spans="1:46" x14ac:dyDescent="0.25">
      <c r="A33" s="1" t="s">
        <v>6</v>
      </c>
      <c r="B33" s="7">
        <v>0.5714285714285714</v>
      </c>
      <c r="C33" s="1">
        <v>24</v>
      </c>
      <c r="D33" s="8">
        <v>42</v>
      </c>
      <c r="AS33" s="2"/>
      <c r="AT33" s="5"/>
    </row>
    <row r="34" spans="1:46" x14ac:dyDescent="0.25">
      <c r="A34" s="1" t="s">
        <v>5</v>
      </c>
      <c r="B34" s="7">
        <v>0.51063829787234039</v>
      </c>
      <c r="C34" s="1">
        <v>24</v>
      </c>
      <c r="D34" s="8">
        <v>47</v>
      </c>
      <c r="AS34" s="2"/>
      <c r="AT34" s="5"/>
    </row>
    <row r="35" spans="1:46" x14ac:dyDescent="0.25">
      <c r="A35" s="1" t="s">
        <v>8</v>
      </c>
      <c r="B35" s="7">
        <v>0.46666666666666667</v>
      </c>
      <c r="C35" s="1">
        <v>14</v>
      </c>
      <c r="D35" s="8">
        <v>30</v>
      </c>
      <c r="AS35" s="2"/>
      <c r="AT35" s="5"/>
    </row>
    <row r="36" spans="1:46" x14ac:dyDescent="0.25">
      <c r="A36" s="1" t="s">
        <v>12</v>
      </c>
      <c r="B36" s="7">
        <v>0.5</v>
      </c>
      <c r="C36" s="1">
        <v>24</v>
      </c>
      <c r="D36" s="8">
        <v>48</v>
      </c>
      <c r="AS36" s="2"/>
      <c r="AT36" s="5"/>
    </row>
    <row r="37" spans="1:46" x14ac:dyDescent="0.25">
      <c r="A37" s="2" t="s">
        <v>23</v>
      </c>
      <c r="B37" s="7">
        <v>0.41379310344827586</v>
      </c>
      <c r="C37" s="1">
        <v>12</v>
      </c>
      <c r="D37" s="8">
        <v>29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AS37" s="2"/>
      <c r="AT37" s="5"/>
    </row>
    <row r="38" spans="1:46" x14ac:dyDescent="0.25">
      <c r="A38" s="1" t="s">
        <v>11</v>
      </c>
      <c r="B38" s="7">
        <v>0.57692307692307687</v>
      </c>
      <c r="C38" s="1">
        <v>15</v>
      </c>
      <c r="D38" s="8">
        <v>26</v>
      </c>
      <c r="AS38" s="2"/>
      <c r="AT38" s="5"/>
    </row>
    <row r="39" spans="1:46" x14ac:dyDescent="0.25">
      <c r="A39" s="1" t="s">
        <v>9</v>
      </c>
      <c r="B39" s="7">
        <v>0.33333333333333331</v>
      </c>
      <c r="C39" s="1">
        <v>8</v>
      </c>
      <c r="D39" s="8">
        <v>24</v>
      </c>
      <c r="AS39" s="2"/>
      <c r="AT39" s="5"/>
    </row>
    <row r="40" spans="1:46" x14ac:dyDescent="0.25">
      <c r="A40" s="1" t="s">
        <v>24</v>
      </c>
      <c r="B40" s="7">
        <v>0.36842105263157893</v>
      </c>
      <c r="C40" s="1">
        <v>7</v>
      </c>
      <c r="D40" s="8">
        <v>19</v>
      </c>
      <c r="AS40" s="2"/>
      <c r="AT40" s="5"/>
    </row>
    <row r="41" spans="1:46" x14ac:dyDescent="0.25">
      <c r="A41" s="1" t="s">
        <v>26</v>
      </c>
      <c r="B41" s="7">
        <v>0.42857142857142855</v>
      </c>
      <c r="C41" s="1">
        <v>3</v>
      </c>
      <c r="D41" s="8">
        <v>7</v>
      </c>
      <c r="AS41" s="2"/>
      <c r="AT41" s="5"/>
    </row>
    <row r="42" spans="1:46" x14ac:dyDescent="0.25">
      <c r="A42" s="1" t="s">
        <v>7</v>
      </c>
      <c r="B42" s="7">
        <v>0.73529411764705888</v>
      </c>
      <c r="C42" s="1">
        <v>25</v>
      </c>
      <c r="D42" s="8">
        <v>34</v>
      </c>
      <c r="AS42" s="2"/>
      <c r="AT42" s="5"/>
    </row>
    <row r="43" spans="1:46" x14ac:dyDescent="0.25">
      <c r="A43" s="1" t="s">
        <v>10</v>
      </c>
      <c r="B43" s="7">
        <v>0</v>
      </c>
      <c r="C43" s="1">
        <v>0</v>
      </c>
      <c r="D43" s="8">
        <v>4</v>
      </c>
      <c r="AS43" s="2"/>
      <c r="AT43" s="5"/>
    </row>
    <row r="44" spans="1:46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6" spans="1:46" x14ac:dyDescent="0.25">
      <c r="A46" s="3" t="s">
        <v>183</v>
      </c>
    </row>
    <row r="47" spans="1:46" x14ac:dyDescent="0.25">
      <c r="B47" s="1" t="s">
        <v>3</v>
      </c>
      <c r="C47" s="1" t="s">
        <v>18</v>
      </c>
      <c r="D47" s="1" t="s">
        <v>16</v>
      </c>
      <c r="E47" s="1" t="s">
        <v>22</v>
      </c>
      <c r="F47" s="1" t="s">
        <v>4</v>
      </c>
      <c r="G47" s="1" t="s">
        <v>6</v>
      </c>
      <c r="H47" s="1" t="s">
        <v>5</v>
      </c>
      <c r="I47" s="1" t="s">
        <v>8</v>
      </c>
      <c r="J47" s="1" t="s">
        <v>12</v>
      </c>
      <c r="K47" s="2" t="s">
        <v>23</v>
      </c>
      <c r="L47" s="2" t="s">
        <v>11</v>
      </c>
      <c r="M47" s="1" t="s">
        <v>9</v>
      </c>
      <c r="N47" s="1" t="s">
        <v>24</v>
      </c>
      <c r="O47" s="1" t="s">
        <v>26</v>
      </c>
      <c r="P47" s="1" t="s">
        <v>7</v>
      </c>
      <c r="Q47" s="1" t="s">
        <v>10</v>
      </c>
    </row>
    <row r="48" spans="1:46" x14ac:dyDescent="0.25">
      <c r="A48" s="1" t="s">
        <v>3</v>
      </c>
      <c r="B48" s="1">
        <v>0</v>
      </c>
      <c r="C48" s="1">
        <v>3</v>
      </c>
      <c r="D48" s="1">
        <v>9</v>
      </c>
      <c r="E48" s="1">
        <v>6</v>
      </c>
      <c r="F48" s="1">
        <v>12</v>
      </c>
      <c r="G48" s="1">
        <v>11</v>
      </c>
      <c r="H48" s="1">
        <v>9</v>
      </c>
      <c r="I48" s="1">
        <v>4</v>
      </c>
      <c r="J48" s="1">
        <v>14</v>
      </c>
      <c r="K48" s="1">
        <v>5</v>
      </c>
      <c r="L48" s="2">
        <v>8</v>
      </c>
      <c r="M48" s="1">
        <v>1</v>
      </c>
      <c r="N48" s="1">
        <v>1</v>
      </c>
      <c r="O48" s="1">
        <v>0</v>
      </c>
      <c r="P48" s="1">
        <v>14</v>
      </c>
      <c r="Q48" s="1">
        <v>0</v>
      </c>
    </row>
    <row r="49" spans="1:17" x14ac:dyDescent="0.25">
      <c r="A49" s="1" t="s">
        <v>18</v>
      </c>
      <c r="B49" s="1">
        <v>3</v>
      </c>
      <c r="C49" s="1">
        <v>0</v>
      </c>
      <c r="D49" s="1">
        <v>1</v>
      </c>
      <c r="E49" s="1">
        <v>0</v>
      </c>
      <c r="F49" s="1">
        <v>1</v>
      </c>
      <c r="G49" s="1">
        <v>0</v>
      </c>
      <c r="H49" s="1">
        <v>1</v>
      </c>
      <c r="I49" s="1">
        <v>1</v>
      </c>
      <c r="J49" s="1">
        <v>1</v>
      </c>
      <c r="K49" s="1">
        <v>1</v>
      </c>
      <c r="L49" s="1">
        <v>2</v>
      </c>
      <c r="M49" s="1">
        <v>0</v>
      </c>
      <c r="N49" s="1">
        <v>0</v>
      </c>
      <c r="O49" s="1">
        <v>0</v>
      </c>
      <c r="P49" s="1">
        <v>1</v>
      </c>
      <c r="Q49" s="1">
        <v>0</v>
      </c>
    </row>
    <row r="50" spans="1:17" x14ac:dyDescent="0.25">
      <c r="A50" s="1" t="s">
        <v>16</v>
      </c>
      <c r="B50" s="1">
        <v>9</v>
      </c>
      <c r="C50" s="1">
        <v>1</v>
      </c>
      <c r="D50" s="1">
        <v>0</v>
      </c>
      <c r="E50" s="1">
        <v>4</v>
      </c>
      <c r="F50" s="1">
        <v>12</v>
      </c>
      <c r="G50" s="1">
        <v>4</v>
      </c>
      <c r="H50" s="1">
        <v>8</v>
      </c>
      <c r="I50" s="1">
        <v>4</v>
      </c>
      <c r="J50" s="1">
        <v>4</v>
      </c>
      <c r="K50" s="1">
        <v>4</v>
      </c>
      <c r="L50" s="1">
        <v>6</v>
      </c>
      <c r="M50" s="1">
        <v>1</v>
      </c>
      <c r="N50" s="1">
        <v>1</v>
      </c>
      <c r="O50" s="1">
        <v>1</v>
      </c>
      <c r="P50" s="1">
        <v>9</v>
      </c>
      <c r="Q50" s="1">
        <v>0</v>
      </c>
    </row>
    <row r="51" spans="1:17" x14ac:dyDescent="0.25">
      <c r="A51" s="1" t="s">
        <v>22</v>
      </c>
      <c r="B51" s="1">
        <v>6</v>
      </c>
      <c r="C51" s="1">
        <v>0</v>
      </c>
      <c r="D51" s="1">
        <v>4</v>
      </c>
      <c r="E51" s="1">
        <v>0</v>
      </c>
      <c r="F51" s="1">
        <v>12</v>
      </c>
      <c r="G51" s="1">
        <v>10</v>
      </c>
      <c r="H51" s="1">
        <v>10</v>
      </c>
      <c r="I51" s="1">
        <v>2</v>
      </c>
      <c r="J51" s="1">
        <v>8</v>
      </c>
      <c r="K51" s="1">
        <v>1</v>
      </c>
      <c r="L51" s="1">
        <v>4</v>
      </c>
      <c r="M51" s="1">
        <v>4</v>
      </c>
      <c r="N51" s="1">
        <v>3</v>
      </c>
      <c r="O51" s="1">
        <v>0</v>
      </c>
      <c r="P51" s="1">
        <v>6</v>
      </c>
      <c r="Q51" s="1">
        <v>0</v>
      </c>
    </row>
    <row r="52" spans="1:17" x14ac:dyDescent="0.25">
      <c r="A52" s="1" t="s">
        <v>4</v>
      </c>
      <c r="B52" s="1">
        <v>12</v>
      </c>
      <c r="C52" s="1">
        <v>1</v>
      </c>
      <c r="D52" s="1">
        <v>12</v>
      </c>
      <c r="E52" s="1">
        <v>12</v>
      </c>
      <c r="F52" s="1">
        <v>0</v>
      </c>
      <c r="G52" s="1">
        <v>12</v>
      </c>
      <c r="H52" s="1">
        <v>16</v>
      </c>
      <c r="I52" s="1">
        <v>8</v>
      </c>
      <c r="J52" s="1">
        <v>9</v>
      </c>
      <c r="K52" s="1">
        <v>6</v>
      </c>
      <c r="L52" s="1">
        <v>3</v>
      </c>
      <c r="M52" s="1">
        <v>5</v>
      </c>
      <c r="N52" s="1">
        <v>4</v>
      </c>
      <c r="O52" s="1">
        <v>2</v>
      </c>
      <c r="P52" s="1">
        <v>12</v>
      </c>
      <c r="Q52" s="1">
        <v>0</v>
      </c>
    </row>
    <row r="53" spans="1:17" x14ac:dyDescent="0.25">
      <c r="A53" s="1" t="s">
        <v>6</v>
      </c>
      <c r="B53" s="1">
        <v>11</v>
      </c>
      <c r="C53" s="1">
        <v>0</v>
      </c>
      <c r="D53" s="1">
        <v>4</v>
      </c>
      <c r="E53" s="1">
        <v>10</v>
      </c>
      <c r="F53" s="1">
        <v>12</v>
      </c>
      <c r="G53" s="1">
        <v>0</v>
      </c>
      <c r="H53" s="1">
        <v>14</v>
      </c>
      <c r="I53" s="1">
        <v>3</v>
      </c>
      <c r="J53" s="1">
        <v>11</v>
      </c>
      <c r="K53" s="1">
        <v>5</v>
      </c>
      <c r="L53" s="1">
        <v>7</v>
      </c>
      <c r="M53" s="1">
        <v>5</v>
      </c>
      <c r="N53" s="1">
        <v>2</v>
      </c>
      <c r="O53" s="1">
        <v>0</v>
      </c>
      <c r="P53" s="1">
        <v>11</v>
      </c>
      <c r="Q53" s="1">
        <v>0</v>
      </c>
    </row>
    <row r="54" spans="1:17" x14ac:dyDescent="0.25">
      <c r="A54" s="1" t="s">
        <v>5</v>
      </c>
      <c r="B54" s="1">
        <v>9</v>
      </c>
      <c r="C54" s="1">
        <v>1</v>
      </c>
      <c r="D54" s="1">
        <v>8</v>
      </c>
      <c r="E54" s="1">
        <v>10</v>
      </c>
      <c r="F54" s="1">
        <v>16</v>
      </c>
      <c r="G54" s="1">
        <v>14</v>
      </c>
      <c r="H54" s="1">
        <v>0</v>
      </c>
      <c r="I54" s="1">
        <v>5</v>
      </c>
      <c r="J54" s="1">
        <v>8</v>
      </c>
      <c r="K54" s="1">
        <v>6</v>
      </c>
      <c r="L54" s="1">
        <v>4</v>
      </c>
      <c r="M54" s="1">
        <v>4</v>
      </c>
      <c r="N54" s="1">
        <v>1</v>
      </c>
      <c r="O54" s="1">
        <v>0</v>
      </c>
      <c r="P54" s="1">
        <v>10</v>
      </c>
      <c r="Q54" s="1">
        <v>0</v>
      </c>
    </row>
    <row r="55" spans="1:17" x14ac:dyDescent="0.25">
      <c r="A55" s="1" t="s">
        <v>8</v>
      </c>
      <c r="B55" s="1">
        <v>4</v>
      </c>
      <c r="C55" s="1">
        <v>1</v>
      </c>
      <c r="D55" s="1">
        <v>4</v>
      </c>
      <c r="E55" s="1">
        <v>2</v>
      </c>
      <c r="F55" s="1">
        <v>8</v>
      </c>
      <c r="G55" s="1">
        <v>3</v>
      </c>
      <c r="H55" s="1">
        <v>5</v>
      </c>
      <c r="I55" s="1">
        <v>0</v>
      </c>
      <c r="J55" s="1">
        <v>6</v>
      </c>
      <c r="K55" s="1">
        <v>4</v>
      </c>
      <c r="L55" s="1">
        <v>2</v>
      </c>
      <c r="M55" s="1">
        <v>0</v>
      </c>
      <c r="N55" s="1">
        <v>5</v>
      </c>
      <c r="O55" s="1">
        <v>3</v>
      </c>
      <c r="P55" s="1">
        <v>5</v>
      </c>
      <c r="Q55" s="1">
        <v>0</v>
      </c>
    </row>
    <row r="56" spans="1:17" x14ac:dyDescent="0.25">
      <c r="A56" s="1" t="s">
        <v>12</v>
      </c>
      <c r="B56" s="1">
        <v>14</v>
      </c>
      <c r="C56" s="1">
        <v>1</v>
      </c>
      <c r="D56" s="1">
        <v>4</v>
      </c>
      <c r="E56" s="1">
        <v>8</v>
      </c>
      <c r="F56" s="1">
        <v>9</v>
      </c>
      <c r="G56" s="1">
        <v>11</v>
      </c>
      <c r="H56" s="1">
        <v>8</v>
      </c>
      <c r="I56" s="1">
        <v>6</v>
      </c>
      <c r="J56" s="1">
        <v>0</v>
      </c>
      <c r="K56" s="1">
        <v>3</v>
      </c>
      <c r="L56" s="1">
        <v>9</v>
      </c>
      <c r="M56" s="1">
        <v>5</v>
      </c>
      <c r="N56" s="1">
        <v>1</v>
      </c>
      <c r="O56" s="1">
        <v>0</v>
      </c>
      <c r="P56" s="1">
        <v>13</v>
      </c>
      <c r="Q56" s="1">
        <v>0</v>
      </c>
    </row>
    <row r="57" spans="1:17" x14ac:dyDescent="0.25">
      <c r="A57" s="2" t="s">
        <v>23</v>
      </c>
      <c r="B57" s="1">
        <v>5</v>
      </c>
      <c r="C57" s="1">
        <v>1</v>
      </c>
      <c r="D57" s="1">
        <v>4</v>
      </c>
      <c r="E57" s="1">
        <v>1</v>
      </c>
      <c r="F57" s="1">
        <v>6</v>
      </c>
      <c r="G57" s="1">
        <v>5</v>
      </c>
      <c r="H57" s="1">
        <v>6</v>
      </c>
      <c r="I57" s="1">
        <v>4</v>
      </c>
      <c r="J57" s="1">
        <v>3</v>
      </c>
      <c r="K57" s="1">
        <v>0</v>
      </c>
      <c r="L57" s="1">
        <v>4</v>
      </c>
      <c r="M57" s="1">
        <v>1</v>
      </c>
      <c r="N57" s="1">
        <v>2</v>
      </c>
      <c r="O57" s="1">
        <v>2</v>
      </c>
      <c r="P57" s="1">
        <v>3</v>
      </c>
      <c r="Q57" s="1">
        <v>0</v>
      </c>
    </row>
    <row r="58" spans="1:17" x14ac:dyDescent="0.25">
      <c r="A58" s="2" t="s">
        <v>11</v>
      </c>
      <c r="B58" s="1">
        <v>8</v>
      </c>
      <c r="C58" s="1">
        <v>2</v>
      </c>
      <c r="D58" s="1">
        <v>6</v>
      </c>
      <c r="E58" s="1">
        <v>4</v>
      </c>
      <c r="F58" s="1">
        <v>3</v>
      </c>
      <c r="G58" s="1">
        <v>7</v>
      </c>
      <c r="H58" s="1">
        <v>4</v>
      </c>
      <c r="I58" s="1">
        <v>2</v>
      </c>
      <c r="J58" s="1">
        <v>9</v>
      </c>
      <c r="K58" s="1">
        <v>4</v>
      </c>
      <c r="L58" s="1">
        <v>0</v>
      </c>
      <c r="M58" s="1">
        <v>1</v>
      </c>
      <c r="N58" s="1">
        <v>1</v>
      </c>
      <c r="O58" s="1">
        <v>0</v>
      </c>
      <c r="P58" s="1">
        <v>7</v>
      </c>
      <c r="Q58" s="1">
        <v>0</v>
      </c>
    </row>
    <row r="59" spans="1:17" x14ac:dyDescent="0.25">
      <c r="A59" s="1" t="s">
        <v>9</v>
      </c>
      <c r="B59" s="1">
        <v>1</v>
      </c>
      <c r="C59" s="1">
        <v>0</v>
      </c>
      <c r="D59" s="1">
        <v>1</v>
      </c>
      <c r="E59" s="1">
        <v>4</v>
      </c>
      <c r="F59" s="1">
        <v>5</v>
      </c>
      <c r="G59" s="1">
        <v>5</v>
      </c>
      <c r="H59" s="1">
        <v>4</v>
      </c>
      <c r="I59" s="1">
        <v>0</v>
      </c>
      <c r="J59" s="1">
        <v>5</v>
      </c>
      <c r="K59" s="1">
        <v>1</v>
      </c>
      <c r="L59" s="1">
        <v>1</v>
      </c>
      <c r="M59" s="1">
        <v>0</v>
      </c>
      <c r="N59" s="1">
        <v>0</v>
      </c>
      <c r="O59" s="1">
        <v>0</v>
      </c>
      <c r="P59" s="1">
        <v>4</v>
      </c>
      <c r="Q59" s="1">
        <v>0</v>
      </c>
    </row>
    <row r="60" spans="1:17" x14ac:dyDescent="0.25">
      <c r="A60" s="1" t="s">
        <v>24</v>
      </c>
      <c r="B60" s="1">
        <v>1</v>
      </c>
      <c r="C60" s="1">
        <v>0</v>
      </c>
      <c r="D60" s="1">
        <v>1</v>
      </c>
      <c r="E60" s="1">
        <v>3</v>
      </c>
      <c r="F60" s="1">
        <v>4</v>
      </c>
      <c r="G60" s="1">
        <v>2</v>
      </c>
      <c r="H60" s="1">
        <v>1</v>
      </c>
      <c r="I60" s="1">
        <v>5</v>
      </c>
      <c r="J60" s="1">
        <v>1</v>
      </c>
      <c r="K60" s="1">
        <v>2</v>
      </c>
      <c r="L60" s="1">
        <v>1</v>
      </c>
      <c r="M60" s="1">
        <v>0</v>
      </c>
      <c r="N60" s="1">
        <v>0</v>
      </c>
      <c r="O60" s="1">
        <v>3</v>
      </c>
      <c r="P60" s="1">
        <v>1</v>
      </c>
      <c r="Q60" s="1">
        <v>0</v>
      </c>
    </row>
    <row r="61" spans="1:17" x14ac:dyDescent="0.25">
      <c r="A61" s="1" t="s">
        <v>26</v>
      </c>
      <c r="B61" s="1">
        <v>0</v>
      </c>
      <c r="C61" s="1">
        <v>0</v>
      </c>
      <c r="D61" s="1">
        <v>1</v>
      </c>
      <c r="E61" s="1">
        <v>0</v>
      </c>
      <c r="F61" s="1">
        <v>2</v>
      </c>
      <c r="G61" s="1">
        <v>0</v>
      </c>
      <c r="H61" s="1">
        <v>0</v>
      </c>
      <c r="I61" s="1">
        <v>3</v>
      </c>
      <c r="J61" s="1">
        <v>0</v>
      </c>
      <c r="K61" s="1">
        <v>2</v>
      </c>
      <c r="L61" s="1">
        <v>0</v>
      </c>
      <c r="M61" s="1">
        <v>0</v>
      </c>
      <c r="N61" s="1">
        <v>3</v>
      </c>
      <c r="O61" s="1">
        <v>0</v>
      </c>
      <c r="P61" s="1">
        <v>0</v>
      </c>
      <c r="Q61" s="1">
        <v>0</v>
      </c>
    </row>
    <row r="62" spans="1:17" x14ac:dyDescent="0.25">
      <c r="A62" s="1" t="s">
        <v>7</v>
      </c>
      <c r="B62" s="1">
        <v>14</v>
      </c>
      <c r="C62" s="1">
        <v>1</v>
      </c>
      <c r="D62" s="1">
        <v>9</v>
      </c>
      <c r="E62" s="1">
        <v>6</v>
      </c>
      <c r="F62" s="1">
        <v>12</v>
      </c>
      <c r="G62" s="1">
        <v>11</v>
      </c>
      <c r="H62" s="1">
        <v>10</v>
      </c>
      <c r="I62" s="1">
        <v>5</v>
      </c>
      <c r="J62" s="1">
        <v>13</v>
      </c>
      <c r="K62" s="1">
        <v>3</v>
      </c>
      <c r="L62" s="1">
        <v>7</v>
      </c>
      <c r="M62" s="1">
        <v>4</v>
      </c>
      <c r="N62" s="1">
        <v>1</v>
      </c>
      <c r="O62" s="1">
        <v>0</v>
      </c>
      <c r="P62" s="1">
        <v>0</v>
      </c>
      <c r="Q62" s="1">
        <v>0</v>
      </c>
    </row>
    <row r="63" spans="1:17" x14ac:dyDescent="0.25">
      <c r="A63" s="1" t="s">
        <v>10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</row>
    <row r="66" spans="1:17" x14ac:dyDescent="0.25">
      <c r="A66" s="3" t="s">
        <v>184</v>
      </c>
    </row>
    <row r="67" spans="1:17" x14ac:dyDescent="0.25">
      <c r="B67" s="1" t="s">
        <v>3</v>
      </c>
      <c r="C67" s="1" t="s">
        <v>18</v>
      </c>
      <c r="D67" s="1" t="s">
        <v>16</v>
      </c>
      <c r="E67" s="1" t="s">
        <v>22</v>
      </c>
      <c r="F67" s="1" t="s">
        <v>4</v>
      </c>
      <c r="G67" s="1" t="s">
        <v>6</v>
      </c>
      <c r="H67" s="1" t="s">
        <v>5</v>
      </c>
      <c r="I67" s="1" t="s">
        <v>8</v>
      </c>
      <c r="J67" s="1" t="s">
        <v>12</v>
      </c>
      <c r="K67" s="2" t="s">
        <v>23</v>
      </c>
      <c r="L67" s="2" t="s">
        <v>11</v>
      </c>
      <c r="M67" s="1" t="s">
        <v>9</v>
      </c>
      <c r="N67" s="1" t="s">
        <v>24</v>
      </c>
      <c r="O67" s="1" t="s">
        <v>26</v>
      </c>
      <c r="P67" s="1" t="s">
        <v>7</v>
      </c>
      <c r="Q67" s="1" t="s">
        <v>10</v>
      </c>
    </row>
    <row r="68" spans="1:17" x14ac:dyDescent="0.25">
      <c r="A68" s="1" t="s">
        <v>3</v>
      </c>
      <c r="B68" s="1">
        <v>0</v>
      </c>
      <c r="C68" s="1">
        <v>2</v>
      </c>
      <c r="D68" s="1">
        <v>10</v>
      </c>
      <c r="E68" s="1">
        <v>8</v>
      </c>
      <c r="F68" s="1">
        <v>8</v>
      </c>
      <c r="G68" s="1">
        <v>5</v>
      </c>
      <c r="H68" s="1">
        <v>6</v>
      </c>
      <c r="I68" s="1">
        <v>1</v>
      </c>
      <c r="J68" s="1">
        <v>12</v>
      </c>
      <c r="K68" s="1">
        <v>5</v>
      </c>
      <c r="L68" s="1">
        <v>4</v>
      </c>
      <c r="M68" s="1">
        <v>4</v>
      </c>
      <c r="N68" s="1">
        <v>3</v>
      </c>
      <c r="O68" s="1">
        <v>2</v>
      </c>
      <c r="P68" s="1">
        <v>5</v>
      </c>
      <c r="Q68" s="1">
        <v>1</v>
      </c>
    </row>
    <row r="69" spans="1:17" x14ac:dyDescent="0.25">
      <c r="A69" s="1" t="s">
        <v>18</v>
      </c>
      <c r="B69" s="1">
        <v>2</v>
      </c>
      <c r="C69" s="1">
        <v>0</v>
      </c>
      <c r="D69" s="1">
        <v>0</v>
      </c>
      <c r="E69" s="1">
        <v>4</v>
      </c>
      <c r="F69" s="1">
        <v>1</v>
      </c>
      <c r="G69" s="1">
        <v>1</v>
      </c>
      <c r="H69" s="1">
        <v>3</v>
      </c>
      <c r="I69" s="1">
        <v>1</v>
      </c>
      <c r="J69" s="1">
        <v>3</v>
      </c>
      <c r="K69" s="1">
        <v>4</v>
      </c>
      <c r="L69" s="1">
        <v>2</v>
      </c>
      <c r="M69" s="1">
        <v>2</v>
      </c>
      <c r="N69" s="1">
        <v>0</v>
      </c>
      <c r="O69" s="1">
        <v>0</v>
      </c>
      <c r="P69" s="1">
        <v>1</v>
      </c>
      <c r="Q69" s="1">
        <v>0</v>
      </c>
    </row>
    <row r="70" spans="1:17" x14ac:dyDescent="0.25">
      <c r="A70" s="1" t="s">
        <v>16</v>
      </c>
      <c r="B70" s="1">
        <v>10</v>
      </c>
      <c r="C70" s="1">
        <v>0</v>
      </c>
      <c r="D70" s="1">
        <v>0</v>
      </c>
      <c r="E70" s="1">
        <v>9</v>
      </c>
      <c r="F70" s="1">
        <v>10</v>
      </c>
      <c r="G70" s="1">
        <v>5</v>
      </c>
      <c r="H70" s="1">
        <v>11</v>
      </c>
      <c r="I70" s="1">
        <v>5</v>
      </c>
      <c r="J70" s="1">
        <v>5</v>
      </c>
      <c r="K70" s="1">
        <v>5</v>
      </c>
      <c r="L70" s="1">
        <v>5</v>
      </c>
      <c r="M70" s="1">
        <v>5</v>
      </c>
      <c r="N70" s="1">
        <v>6</v>
      </c>
      <c r="O70" s="1">
        <v>2</v>
      </c>
      <c r="P70" s="1">
        <v>5</v>
      </c>
      <c r="Q70" s="1">
        <v>0</v>
      </c>
    </row>
    <row r="71" spans="1:17" x14ac:dyDescent="0.25">
      <c r="A71" s="1" t="s">
        <v>22</v>
      </c>
      <c r="B71" s="1">
        <v>8</v>
      </c>
      <c r="C71" s="1">
        <v>4</v>
      </c>
      <c r="D71" s="1">
        <v>9</v>
      </c>
      <c r="E71" s="1">
        <v>0</v>
      </c>
      <c r="F71" s="1">
        <v>9</v>
      </c>
      <c r="G71" s="1">
        <v>9</v>
      </c>
      <c r="H71" s="1">
        <v>8</v>
      </c>
      <c r="I71" s="1">
        <v>2</v>
      </c>
      <c r="J71" s="1">
        <v>9</v>
      </c>
      <c r="K71" s="1">
        <v>7</v>
      </c>
      <c r="L71" s="1">
        <v>4</v>
      </c>
      <c r="M71" s="1">
        <v>4</v>
      </c>
      <c r="N71" s="1">
        <v>4</v>
      </c>
      <c r="O71" s="1">
        <v>0</v>
      </c>
      <c r="P71" s="1">
        <v>5</v>
      </c>
      <c r="Q71" s="1">
        <v>0</v>
      </c>
    </row>
    <row r="72" spans="1:17" x14ac:dyDescent="0.25">
      <c r="A72" s="1" t="s">
        <v>4</v>
      </c>
      <c r="B72" s="1">
        <v>8</v>
      </c>
      <c r="C72" s="1">
        <v>1</v>
      </c>
      <c r="D72" s="1">
        <v>10</v>
      </c>
      <c r="E72" s="1">
        <v>9</v>
      </c>
      <c r="F72" s="1">
        <v>0</v>
      </c>
      <c r="G72" s="1">
        <v>6</v>
      </c>
      <c r="H72" s="1">
        <v>11</v>
      </c>
      <c r="I72" s="1">
        <v>3</v>
      </c>
      <c r="J72" s="1">
        <v>4</v>
      </c>
      <c r="K72" s="1">
        <v>7</v>
      </c>
      <c r="L72" s="1">
        <v>3</v>
      </c>
      <c r="M72" s="1">
        <v>9</v>
      </c>
      <c r="N72" s="1">
        <v>3</v>
      </c>
      <c r="O72" s="1">
        <v>0</v>
      </c>
      <c r="P72" s="1">
        <v>2</v>
      </c>
      <c r="Q72" s="1">
        <v>0</v>
      </c>
    </row>
    <row r="73" spans="1:17" x14ac:dyDescent="0.25">
      <c r="A73" s="1" t="s">
        <v>6</v>
      </c>
      <c r="B73" s="1">
        <v>5</v>
      </c>
      <c r="C73" s="1">
        <v>1</v>
      </c>
      <c r="D73" s="1">
        <v>5</v>
      </c>
      <c r="E73" s="1">
        <v>9</v>
      </c>
      <c r="F73" s="1">
        <v>6</v>
      </c>
      <c r="G73" s="1">
        <v>0</v>
      </c>
      <c r="H73" s="1">
        <v>9</v>
      </c>
      <c r="I73" s="1">
        <v>4</v>
      </c>
      <c r="J73" s="1">
        <v>7</v>
      </c>
      <c r="K73" s="1">
        <v>7</v>
      </c>
      <c r="L73" s="1">
        <v>3</v>
      </c>
      <c r="M73" s="1">
        <v>6</v>
      </c>
      <c r="N73" s="1">
        <v>3</v>
      </c>
      <c r="O73" s="1">
        <v>1</v>
      </c>
      <c r="P73" s="1">
        <v>2</v>
      </c>
      <c r="Q73" s="1">
        <v>0</v>
      </c>
    </row>
    <row r="74" spans="1:17" x14ac:dyDescent="0.25">
      <c r="A74" s="1" t="s">
        <v>5</v>
      </c>
      <c r="B74" s="1">
        <v>6</v>
      </c>
      <c r="C74" s="1">
        <v>3</v>
      </c>
      <c r="D74" s="1">
        <v>11</v>
      </c>
      <c r="E74" s="1">
        <v>8</v>
      </c>
      <c r="F74" s="1">
        <v>11</v>
      </c>
      <c r="G74" s="1">
        <v>9</v>
      </c>
      <c r="H74" s="1">
        <v>0</v>
      </c>
      <c r="I74" s="1">
        <v>7</v>
      </c>
      <c r="J74" s="1">
        <v>8</v>
      </c>
      <c r="K74" s="1">
        <v>8</v>
      </c>
      <c r="L74" s="1">
        <v>3</v>
      </c>
      <c r="M74" s="1">
        <v>7</v>
      </c>
      <c r="N74" s="1">
        <v>3</v>
      </c>
      <c r="O74" s="1">
        <v>0</v>
      </c>
      <c r="P74" s="1">
        <v>3</v>
      </c>
      <c r="Q74" s="1">
        <v>0</v>
      </c>
    </row>
    <row r="75" spans="1:17" x14ac:dyDescent="0.25">
      <c r="A75" s="1" t="s">
        <v>8</v>
      </c>
      <c r="B75" s="1">
        <v>1</v>
      </c>
      <c r="C75" s="1">
        <v>1</v>
      </c>
      <c r="D75" s="1">
        <v>5</v>
      </c>
      <c r="E75" s="1">
        <v>2</v>
      </c>
      <c r="F75" s="1">
        <v>3</v>
      </c>
      <c r="G75" s="1">
        <v>4</v>
      </c>
      <c r="H75" s="1">
        <v>7</v>
      </c>
      <c r="I75" s="1">
        <v>0</v>
      </c>
      <c r="J75" s="1">
        <v>10</v>
      </c>
      <c r="K75" s="1">
        <v>5</v>
      </c>
      <c r="L75" s="1">
        <v>2</v>
      </c>
      <c r="M75" s="1">
        <v>6</v>
      </c>
      <c r="N75" s="1">
        <v>8</v>
      </c>
      <c r="O75" s="1">
        <v>2</v>
      </c>
      <c r="P75" s="1">
        <v>0</v>
      </c>
      <c r="Q75" s="1">
        <v>4</v>
      </c>
    </row>
    <row r="76" spans="1:17" x14ac:dyDescent="0.25">
      <c r="A76" s="1" t="s">
        <v>12</v>
      </c>
      <c r="B76" s="1">
        <v>12</v>
      </c>
      <c r="C76" s="1">
        <v>3</v>
      </c>
      <c r="D76" s="1">
        <v>5</v>
      </c>
      <c r="E76" s="1">
        <v>9</v>
      </c>
      <c r="F76" s="1">
        <v>4</v>
      </c>
      <c r="G76" s="1">
        <v>7</v>
      </c>
      <c r="H76" s="1">
        <v>8</v>
      </c>
      <c r="I76" s="1">
        <v>10</v>
      </c>
      <c r="J76" s="1">
        <v>0</v>
      </c>
      <c r="K76" s="1">
        <v>7</v>
      </c>
      <c r="L76" s="1">
        <v>5</v>
      </c>
      <c r="M76" s="1">
        <v>5</v>
      </c>
      <c r="N76" s="1">
        <v>6</v>
      </c>
      <c r="O76" s="1">
        <v>2</v>
      </c>
      <c r="P76" s="1">
        <v>6</v>
      </c>
      <c r="Q76" s="1">
        <v>4</v>
      </c>
    </row>
    <row r="77" spans="1:17" x14ac:dyDescent="0.25">
      <c r="A77" s="2" t="s">
        <v>23</v>
      </c>
      <c r="B77" s="1">
        <v>5</v>
      </c>
      <c r="C77" s="1">
        <v>4</v>
      </c>
      <c r="D77" s="1">
        <v>5</v>
      </c>
      <c r="E77" s="1">
        <v>7</v>
      </c>
      <c r="F77" s="1">
        <v>7</v>
      </c>
      <c r="G77" s="1">
        <v>7</v>
      </c>
      <c r="H77" s="1">
        <v>8</v>
      </c>
      <c r="I77" s="1">
        <v>5</v>
      </c>
      <c r="J77" s="1">
        <v>7</v>
      </c>
      <c r="K77" s="1">
        <v>0</v>
      </c>
      <c r="L77" s="1">
        <v>2</v>
      </c>
      <c r="M77" s="1">
        <v>6</v>
      </c>
      <c r="N77" s="1">
        <v>1</v>
      </c>
      <c r="O77" s="1">
        <v>0</v>
      </c>
      <c r="P77" s="1">
        <v>2</v>
      </c>
      <c r="Q77" s="1">
        <v>2</v>
      </c>
    </row>
    <row r="78" spans="1:17" x14ac:dyDescent="0.25">
      <c r="A78" s="2" t="s">
        <v>11</v>
      </c>
      <c r="B78" s="1">
        <v>4</v>
      </c>
      <c r="C78" s="1">
        <v>2</v>
      </c>
      <c r="D78" s="1">
        <v>5</v>
      </c>
      <c r="E78" s="1">
        <v>4</v>
      </c>
      <c r="F78" s="1">
        <v>3</v>
      </c>
      <c r="G78" s="1">
        <v>3</v>
      </c>
      <c r="H78" s="1">
        <v>3</v>
      </c>
      <c r="I78" s="1">
        <v>2</v>
      </c>
      <c r="J78" s="1">
        <v>5</v>
      </c>
      <c r="K78" s="1">
        <v>2</v>
      </c>
      <c r="L78" s="1">
        <v>0</v>
      </c>
      <c r="M78" s="1">
        <v>3</v>
      </c>
      <c r="N78" s="1">
        <v>1</v>
      </c>
      <c r="O78" s="1">
        <v>0</v>
      </c>
      <c r="P78" s="1">
        <v>1</v>
      </c>
      <c r="Q78" s="1">
        <v>2</v>
      </c>
    </row>
    <row r="79" spans="1:17" x14ac:dyDescent="0.25">
      <c r="A79" s="1" t="s">
        <v>9</v>
      </c>
      <c r="B79" s="1">
        <v>4</v>
      </c>
      <c r="C79" s="1">
        <v>2</v>
      </c>
      <c r="D79" s="1">
        <v>5</v>
      </c>
      <c r="E79" s="1">
        <v>4</v>
      </c>
      <c r="F79" s="1">
        <v>9</v>
      </c>
      <c r="G79" s="1">
        <v>6</v>
      </c>
      <c r="H79" s="1">
        <v>7</v>
      </c>
      <c r="I79" s="1">
        <v>6</v>
      </c>
      <c r="J79" s="1">
        <v>5</v>
      </c>
      <c r="K79" s="1">
        <v>6</v>
      </c>
      <c r="L79" s="1">
        <v>3</v>
      </c>
      <c r="M79" s="1">
        <v>0</v>
      </c>
      <c r="N79" s="1">
        <v>2</v>
      </c>
      <c r="O79" s="1">
        <v>0</v>
      </c>
      <c r="P79" s="1">
        <v>2</v>
      </c>
      <c r="Q79" s="1">
        <v>2</v>
      </c>
    </row>
    <row r="80" spans="1:17" x14ac:dyDescent="0.25">
      <c r="A80" s="1" t="s">
        <v>24</v>
      </c>
      <c r="B80" s="1">
        <v>3</v>
      </c>
      <c r="C80" s="1">
        <v>0</v>
      </c>
      <c r="D80" s="1">
        <v>6</v>
      </c>
      <c r="E80" s="1">
        <v>4</v>
      </c>
      <c r="F80" s="1">
        <v>3</v>
      </c>
      <c r="G80" s="1">
        <v>3</v>
      </c>
      <c r="H80" s="1">
        <v>3</v>
      </c>
      <c r="I80" s="1">
        <v>8</v>
      </c>
      <c r="J80" s="1">
        <v>6</v>
      </c>
      <c r="K80" s="1">
        <v>1</v>
      </c>
      <c r="L80" s="1">
        <v>1</v>
      </c>
      <c r="M80" s="1">
        <v>2</v>
      </c>
      <c r="N80" s="1">
        <v>0</v>
      </c>
      <c r="O80" s="1">
        <v>4</v>
      </c>
      <c r="P80" s="1">
        <v>0</v>
      </c>
      <c r="Q80" s="1">
        <v>1</v>
      </c>
    </row>
    <row r="81" spans="1:17" x14ac:dyDescent="0.25">
      <c r="A81" s="1" t="s">
        <v>26</v>
      </c>
      <c r="B81" s="1">
        <v>2</v>
      </c>
      <c r="C81" s="1">
        <v>0</v>
      </c>
      <c r="D81" s="1">
        <v>2</v>
      </c>
      <c r="E81" s="1">
        <v>0</v>
      </c>
      <c r="F81" s="1">
        <v>0</v>
      </c>
      <c r="G81" s="1">
        <v>1</v>
      </c>
      <c r="H81" s="1">
        <v>0</v>
      </c>
      <c r="I81" s="1">
        <v>2</v>
      </c>
      <c r="J81" s="1">
        <v>2</v>
      </c>
      <c r="K81" s="1">
        <v>0</v>
      </c>
      <c r="L81" s="1">
        <v>0</v>
      </c>
      <c r="M81" s="1">
        <v>0</v>
      </c>
      <c r="N81" s="1">
        <v>4</v>
      </c>
      <c r="O81" s="1">
        <v>0</v>
      </c>
      <c r="P81" s="1">
        <v>0</v>
      </c>
      <c r="Q81" s="1">
        <v>0</v>
      </c>
    </row>
    <row r="82" spans="1:17" x14ac:dyDescent="0.25">
      <c r="A82" s="1" t="s">
        <v>7</v>
      </c>
      <c r="B82" s="1">
        <v>5</v>
      </c>
      <c r="C82" s="1">
        <v>1</v>
      </c>
      <c r="D82" s="1">
        <v>5</v>
      </c>
      <c r="E82" s="1">
        <v>5</v>
      </c>
      <c r="F82" s="1">
        <v>2</v>
      </c>
      <c r="G82" s="1">
        <v>2</v>
      </c>
      <c r="H82" s="1">
        <v>3</v>
      </c>
      <c r="I82" s="1">
        <v>0</v>
      </c>
      <c r="J82" s="1">
        <v>6</v>
      </c>
      <c r="K82" s="1">
        <v>2</v>
      </c>
      <c r="L82" s="1">
        <v>1</v>
      </c>
      <c r="M82" s="1">
        <v>2</v>
      </c>
      <c r="N82" s="1">
        <v>0</v>
      </c>
      <c r="O82" s="1">
        <v>0</v>
      </c>
      <c r="P82" s="1">
        <v>0</v>
      </c>
      <c r="Q82" s="1">
        <v>0</v>
      </c>
    </row>
    <row r="83" spans="1:17" x14ac:dyDescent="0.25">
      <c r="A83" s="1" t="s">
        <v>10</v>
      </c>
      <c r="B83" s="1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4</v>
      </c>
      <c r="J83" s="1">
        <v>4</v>
      </c>
      <c r="K83" s="1">
        <v>2</v>
      </c>
      <c r="L83" s="1">
        <v>2</v>
      </c>
      <c r="M83" s="1">
        <v>2</v>
      </c>
      <c r="N83" s="1">
        <v>1</v>
      </c>
      <c r="O83" s="1">
        <v>0</v>
      </c>
      <c r="P83" s="1">
        <v>0</v>
      </c>
      <c r="Q83" s="1">
        <v>0</v>
      </c>
    </row>
    <row r="86" spans="1:17" x14ac:dyDescent="0.25">
      <c r="A86" s="3" t="s">
        <v>185</v>
      </c>
    </row>
    <row r="87" spans="1:17" x14ac:dyDescent="0.25">
      <c r="B87" s="1" t="s">
        <v>3</v>
      </c>
      <c r="C87" s="1" t="s">
        <v>18</v>
      </c>
      <c r="D87" s="1" t="s">
        <v>16</v>
      </c>
      <c r="E87" s="1" t="s">
        <v>22</v>
      </c>
      <c r="F87" s="1" t="s">
        <v>4</v>
      </c>
      <c r="G87" s="1" t="s">
        <v>6</v>
      </c>
      <c r="H87" s="1" t="s">
        <v>5</v>
      </c>
      <c r="I87" s="1" t="s">
        <v>8</v>
      </c>
      <c r="J87" s="1" t="s">
        <v>12</v>
      </c>
      <c r="K87" s="2" t="s">
        <v>23</v>
      </c>
      <c r="L87" s="2" t="s">
        <v>11</v>
      </c>
      <c r="M87" s="1" t="s">
        <v>9</v>
      </c>
      <c r="N87" s="1" t="s">
        <v>24</v>
      </c>
      <c r="O87" s="1" t="s">
        <v>26</v>
      </c>
      <c r="P87" s="1" t="s">
        <v>7</v>
      </c>
      <c r="Q87" s="1" t="s">
        <v>10</v>
      </c>
    </row>
    <row r="88" spans="1:17" x14ac:dyDescent="0.25">
      <c r="A88" s="1" t="s">
        <v>3</v>
      </c>
      <c r="B88" s="1">
        <f>B48+B68</f>
        <v>0</v>
      </c>
      <c r="C88" s="1">
        <f t="shared" ref="C88:Q88" si="0">C48+C68</f>
        <v>5</v>
      </c>
      <c r="D88" s="1">
        <f t="shared" si="0"/>
        <v>19</v>
      </c>
      <c r="E88" s="1">
        <f t="shared" si="0"/>
        <v>14</v>
      </c>
      <c r="F88" s="1">
        <f t="shared" si="0"/>
        <v>20</v>
      </c>
      <c r="G88" s="1">
        <f t="shared" si="0"/>
        <v>16</v>
      </c>
      <c r="H88" s="1">
        <f t="shared" si="0"/>
        <v>15</v>
      </c>
      <c r="I88" s="1">
        <f t="shared" si="0"/>
        <v>5</v>
      </c>
      <c r="J88" s="1">
        <f t="shared" si="0"/>
        <v>26</v>
      </c>
      <c r="K88" s="1">
        <f t="shared" si="0"/>
        <v>10</v>
      </c>
      <c r="L88" s="1">
        <f t="shared" si="0"/>
        <v>12</v>
      </c>
      <c r="M88" s="1">
        <f t="shared" si="0"/>
        <v>5</v>
      </c>
      <c r="N88" s="1">
        <f t="shared" si="0"/>
        <v>4</v>
      </c>
      <c r="O88" s="1">
        <f t="shared" si="0"/>
        <v>2</v>
      </c>
      <c r="P88" s="1">
        <f t="shared" si="0"/>
        <v>19</v>
      </c>
      <c r="Q88" s="1">
        <f t="shared" si="0"/>
        <v>1</v>
      </c>
    </row>
    <row r="89" spans="1:17" x14ac:dyDescent="0.25">
      <c r="A89" s="1" t="s">
        <v>18</v>
      </c>
      <c r="B89" s="1">
        <f t="shared" ref="B89:Q103" si="1">B49+B69</f>
        <v>5</v>
      </c>
      <c r="C89" s="1">
        <f t="shared" si="1"/>
        <v>0</v>
      </c>
      <c r="D89" s="1">
        <f t="shared" si="1"/>
        <v>1</v>
      </c>
      <c r="E89" s="1">
        <f t="shared" si="1"/>
        <v>4</v>
      </c>
      <c r="F89" s="1">
        <f t="shared" si="1"/>
        <v>2</v>
      </c>
      <c r="G89" s="1">
        <f t="shared" si="1"/>
        <v>1</v>
      </c>
      <c r="H89" s="1">
        <f t="shared" si="1"/>
        <v>4</v>
      </c>
      <c r="I89" s="1">
        <f t="shared" si="1"/>
        <v>2</v>
      </c>
      <c r="J89" s="1">
        <f t="shared" si="1"/>
        <v>4</v>
      </c>
      <c r="K89" s="1">
        <f t="shared" si="1"/>
        <v>5</v>
      </c>
      <c r="L89" s="1">
        <f t="shared" si="1"/>
        <v>4</v>
      </c>
      <c r="M89" s="1">
        <f t="shared" si="1"/>
        <v>2</v>
      </c>
      <c r="N89" s="1">
        <f t="shared" si="1"/>
        <v>0</v>
      </c>
      <c r="O89" s="1">
        <f t="shared" si="1"/>
        <v>0</v>
      </c>
      <c r="P89" s="1">
        <f t="shared" si="1"/>
        <v>2</v>
      </c>
      <c r="Q89" s="1">
        <f t="shared" si="1"/>
        <v>0</v>
      </c>
    </row>
    <row r="90" spans="1:17" x14ac:dyDescent="0.25">
      <c r="A90" s="1" t="s">
        <v>16</v>
      </c>
      <c r="B90" s="1">
        <f t="shared" si="1"/>
        <v>19</v>
      </c>
      <c r="C90" s="1">
        <f t="shared" si="1"/>
        <v>1</v>
      </c>
      <c r="D90" s="1">
        <f t="shared" si="1"/>
        <v>0</v>
      </c>
      <c r="E90" s="1">
        <f t="shared" si="1"/>
        <v>13</v>
      </c>
      <c r="F90" s="1">
        <f t="shared" si="1"/>
        <v>22</v>
      </c>
      <c r="G90" s="1">
        <f t="shared" si="1"/>
        <v>9</v>
      </c>
      <c r="H90" s="1">
        <f t="shared" si="1"/>
        <v>19</v>
      </c>
      <c r="I90" s="1">
        <f t="shared" si="1"/>
        <v>9</v>
      </c>
      <c r="J90" s="1">
        <f t="shared" si="1"/>
        <v>9</v>
      </c>
      <c r="K90" s="1">
        <f t="shared" si="1"/>
        <v>9</v>
      </c>
      <c r="L90" s="1">
        <f t="shared" si="1"/>
        <v>11</v>
      </c>
      <c r="M90" s="1">
        <f t="shared" si="1"/>
        <v>6</v>
      </c>
      <c r="N90" s="1">
        <f t="shared" si="1"/>
        <v>7</v>
      </c>
      <c r="O90" s="1">
        <f t="shared" si="1"/>
        <v>3</v>
      </c>
      <c r="P90" s="1">
        <f t="shared" si="1"/>
        <v>14</v>
      </c>
      <c r="Q90" s="1">
        <f t="shared" si="1"/>
        <v>0</v>
      </c>
    </row>
    <row r="91" spans="1:17" x14ac:dyDescent="0.25">
      <c r="A91" s="1" t="s">
        <v>22</v>
      </c>
      <c r="B91" s="1">
        <f t="shared" si="1"/>
        <v>14</v>
      </c>
      <c r="C91" s="1">
        <f t="shared" si="1"/>
        <v>4</v>
      </c>
      <c r="D91" s="1">
        <f t="shared" si="1"/>
        <v>13</v>
      </c>
      <c r="E91" s="1">
        <f t="shared" si="1"/>
        <v>0</v>
      </c>
      <c r="F91" s="1">
        <f t="shared" si="1"/>
        <v>21</v>
      </c>
      <c r="G91" s="1">
        <f t="shared" si="1"/>
        <v>19</v>
      </c>
      <c r="H91" s="1">
        <f t="shared" si="1"/>
        <v>18</v>
      </c>
      <c r="I91" s="1">
        <f t="shared" si="1"/>
        <v>4</v>
      </c>
      <c r="J91" s="1">
        <f t="shared" si="1"/>
        <v>17</v>
      </c>
      <c r="K91" s="1">
        <f t="shared" si="1"/>
        <v>8</v>
      </c>
      <c r="L91" s="1">
        <f t="shared" si="1"/>
        <v>8</v>
      </c>
      <c r="M91" s="1">
        <f t="shared" si="1"/>
        <v>8</v>
      </c>
      <c r="N91" s="1">
        <f t="shared" si="1"/>
        <v>7</v>
      </c>
      <c r="O91" s="1">
        <f t="shared" si="1"/>
        <v>0</v>
      </c>
      <c r="P91" s="1">
        <f t="shared" si="1"/>
        <v>11</v>
      </c>
      <c r="Q91" s="1">
        <f t="shared" si="1"/>
        <v>0</v>
      </c>
    </row>
    <row r="92" spans="1:17" x14ac:dyDescent="0.25">
      <c r="A92" s="1" t="s">
        <v>4</v>
      </c>
      <c r="B92" s="1">
        <f t="shared" si="1"/>
        <v>20</v>
      </c>
      <c r="C92" s="1">
        <f t="shared" si="1"/>
        <v>2</v>
      </c>
      <c r="D92" s="1">
        <f t="shared" si="1"/>
        <v>22</v>
      </c>
      <c r="E92" s="1">
        <f t="shared" si="1"/>
        <v>21</v>
      </c>
      <c r="F92" s="1">
        <f t="shared" si="1"/>
        <v>0</v>
      </c>
      <c r="G92" s="1">
        <f t="shared" si="1"/>
        <v>18</v>
      </c>
      <c r="H92" s="1">
        <f t="shared" si="1"/>
        <v>27</v>
      </c>
      <c r="I92" s="1">
        <f t="shared" si="1"/>
        <v>11</v>
      </c>
      <c r="J92" s="1">
        <f t="shared" si="1"/>
        <v>13</v>
      </c>
      <c r="K92" s="1">
        <f t="shared" si="1"/>
        <v>13</v>
      </c>
      <c r="L92" s="1">
        <f t="shared" si="1"/>
        <v>6</v>
      </c>
      <c r="M92" s="1">
        <f t="shared" si="1"/>
        <v>14</v>
      </c>
      <c r="N92" s="1">
        <f t="shared" si="1"/>
        <v>7</v>
      </c>
      <c r="O92" s="1">
        <f t="shared" si="1"/>
        <v>2</v>
      </c>
      <c r="P92" s="1">
        <f t="shared" si="1"/>
        <v>14</v>
      </c>
      <c r="Q92" s="1">
        <f t="shared" si="1"/>
        <v>0</v>
      </c>
    </row>
    <row r="93" spans="1:17" x14ac:dyDescent="0.25">
      <c r="A93" s="1" t="s">
        <v>6</v>
      </c>
      <c r="B93" s="1">
        <f t="shared" si="1"/>
        <v>16</v>
      </c>
      <c r="C93" s="1">
        <f t="shared" si="1"/>
        <v>1</v>
      </c>
      <c r="D93" s="1">
        <f t="shared" si="1"/>
        <v>9</v>
      </c>
      <c r="E93" s="1">
        <f t="shared" si="1"/>
        <v>19</v>
      </c>
      <c r="F93" s="1">
        <f t="shared" si="1"/>
        <v>18</v>
      </c>
      <c r="G93" s="1">
        <f t="shared" si="1"/>
        <v>0</v>
      </c>
      <c r="H93" s="1">
        <f t="shared" si="1"/>
        <v>23</v>
      </c>
      <c r="I93" s="1">
        <f t="shared" si="1"/>
        <v>7</v>
      </c>
      <c r="J93" s="1">
        <f t="shared" si="1"/>
        <v>18</v>
      </c>
      <c r="K93" s="1">
        <f t="shared" si="1"/>
        <v>12</v>
      </c>
      <c r="L93" s="1">
        <f t="shared" si="1"/>
        <v>10</v>
      </c>
      <c r="M93" s="1">
        <f t="shared" si="1"/>
        <v>11</v>
      </c>
      <c r="N93" s="1">
        <f t="shared" si="1"/>
        <v>5</v>
      </c>
      <c r="O93" s="1">
        <f t="shared" si="1"/>
        <v>1</v>
      </c>
      <c r="P93" s="1">
        <f t="shared" si="1"/>
        <v>13</v>
      </c>
      <c r="Q93" s="1">
        <f t="shared" si="1"/>
        <v>0</v>
      </c>
    </row>
    <row r="94" spans="1:17" x14ac:dyDescent="0.25">
      <c r="A94" s="1" t="s">
        <v>5</v>
      </c>
      <c r="B94" s="1">
        <f t="shared" si="1"/>
        <v>15</v>
      </c>
      <c r="C94" s="1">
        <f t="shared" si="1"/>
        <v>4</v>
      </c>
      <c r="D94" s="1">
        <f t="shared" si="1"/>
        <v>19</v>
      </c>
      <c r="E94" s="1">
        <f t="shared" si="1"/>
        <v>18</v>
      </c>
      <c r="F94" s="1">
        <f t="shared" si="1"/>
        <v>27</v>
      </c>
      <c r="G94" s="1">
        <f t="shared" si="1"/>
        <v>23</v>
      </c>
      <c r="H94" s="1">
        <f t="shared" si="1"/>
        <v>0</v>
      </c>
      <c r="I94" s="1">
        <f t="shared" si="1"/>
        <v>12</v>
      </c>
      <c r="J94" s="1">
        <f t="shared" si="1"/>
        <v>16</v>
      </c>
      <c r="K94" s="1">
        <f t="shared" si="1"/>
        <v>14</v>
      </c>
      <c r="L94" s="1">
        <f t="shared" si="1"/>
        <v>7</v>
      </c>
      <c r="M94" s="1">
        <f t="shared" si="1"/>
        <v>11</v>
      </c>
      <c r="N94" s="1">
        <f t="shared" si="1"/>
        <v>4</v>
      </c>
      <c r="O94" s="1">
        <f t="shared" si="1"/>
        <v>0</v>
      </c>
      <c r="P94" s="1">
        <f t="shared" si="1"/>
        <v>13</v>
      </c>
      <c r="Q94" s="1">
        <f t="shared" si="1"/>
        <v>0</v>
      </c>
    </row>
    <row r="95" spans="1:17" x14ac:dyDescent="0.25">
      <c r="A95" s="1" t="s">
        <v>8</v>
      </c>
      <c r="B95" s="1">
        <f t="shared" si="1"/>
        <v>5</v>
      </c>
      <c r="C95" s="1">
        <f t="shared" si="1"/>
        <v>2</v>
      </c>
      <c r="D95" s="1">
        <f t="shared" si="1"/>
        <v>9</v>
      </c>
      <c r="E95" s="1">
        <f t="shared" si="1"/>
        <v>4</v>
      </c>
      <c r="F95" s="1">
        <f t="shared" si="1"/>
        <v>11</v>
      </c>
      <c r="G95" s="1">
        <f t="shared" si="1"/>
        <v>7</v>
      </c>
      <c r="H95" s="1">
        <f t="shared" si="1"/>
        <v>12</v>
      </c>
      <c r="I95" s="1">
        <f t="shared" si="1"/>
        <v>0</v>
      </c>
      <c r="J95" s="1">
        <f t="shared" si="1"/>
        <v>16</v>
      </c>
      <c r="K95" s="1">
        <f t="shared" si="1"/>
        <v>9</v>
      </c>
      <c r="L95" s="1">
        <f t="shared" si="1"/>
        <v>4</v>
      </c>
      <c r="M95" s="1">
        <f t="shared" si="1"/>
        <v>6</v>
      </c>
      <c r="N95" s="1">
        <f t="shared" si="1"/>
        <v>13</v>
      </c>
      <c r="O95" s="1">
        <f t="shared" si="1"/>
        <v>5</v>
      </c>
      <c r="P95" s="1">
        <f t="shared" si="1"/>
        <v>5</v>
      </c>
      <c r="Q95" s="1">
        <f t="shared" si="1"/>
        <v>4</v>
      </c>
    </row>
    <row r="96" spans="1:17" x14ac:dyDescent="0.25">
      <c r="A96" s="1" t="s">
        <v>12</v>
      </c>
      <c r="B96" s="1">
        <f t="shared" si="1"/>
        <v>26</v>
      </c>
      <c r="C96" s="1">
        <f t="shared" si="1"/>
        <v>4</v>
      </c>
      <c r="D96" s="1">
        <f t="shared" si="1"/>
        <v>9</v>
      </c>
      <c r="E96" s="1">
        <f t="shared" si="1"/>
        <v>17</v>
      </c>
      <c r="F96" s="1">
        <f t="shared" si="1"/>
        <v>13</v>
      </c>
      <c r="G96" s="1">
        <f t="shared" si="1"/>
        <v>18</v>
      </c>
      <c r="H96" s="1">
        <f t="shared" si="1"/>
        <v>16</v>
      </c>
      <c r="I96" s="1">
        <f t="shared" si="1"/>
        <v>16</v>
      </c>
      <c r="J96" s="1">
        <f t="shared" si="1"/>
        <v>0</v>
      </c>
      <c r="K96" s="1">
        <f t="shared" si="1"/>
        <v>10</v>
      </c>
      <c r="L96" s="1">
        <f t="shared" si="1"/>
        <v>14</v>
      </c>
      <c r="M96" s="1">
        <f t="shared" si="1"/>
        <v>10</v>
      </c>
      <c r="N96" s="1">
        <f t="shared" si="1"/>
        <v>7</v>
      </c>
      <c r="O96" s="1">
        <f t="shared" si="1"/>
        <v>2</v>
      </c>
      <c r="P96" s="1">
        <f t="shared" si="1"/>
        <v>19</v>
      </c>
      <c r="Q96" s="1">
        <f t="shared" si="1"/>
        <v>4</v>
      </c>
    </row>
    <row r="97" spans="1:17" x14ac:dyDescent="0.25">
      <c r="A97" s="2" t="s">
        <v>23</v>
      </c>
      <c r="B97" s="1">
        <f t="shared" si="1"/>
        <v>10</v>
      </c>
      <c r="C97" s="1">
        <f t="shared" si="1"/>
        <v>5</v>
      </c>
      <c r="D97" s="1">
        <f t="shared" si="1"/>
        <v>9</v>
      </c>
      <c r="E97" s="1">
        <f t="shared" si="1"/>
        <v>8</v>
      </c>
      <c r="F97" s="1">
        <f t="shared" si="1"/>
        <v>13</v>
      </c>
      <c r="G97" s="1">
        <f t="shared" si="1"/>
        <v>12</v>
      </c>
      <c r="H97" s="1">
        <f t="shared" si="1"/>
        <v>14</v>
      </c>
      <c r="I97" s="1">
        <f t="shared" si="1"/>
        <v>9</v>
      </c>
      <c r="J97" s="1">
        <f t="shared" si="1"/>
        <v>10</v>
      </c>
      <c r="K97" s="1">
        <f t="shared" si="1"/>
        <v>0</v>
      </c>
      <c r="L97" s="1">
        <f t="shared" si="1"/>
        <v>6</v>
      </c>
      <c r="M97" s="1">
        <f t="shared" si="1"/>
        <v>7</v>
      </c>
      <c r="N97" s="1">
        <f t="shared" si="1"/>
        <v>3</v>
      </c>
      <c r="O97" s="1">
        <f t="shared" si="1"/>
        <v>2</v>
      </c>
      <c r="P97" s="1">
        <f t="shared" si="1"/>
        <v>5</v>
      </c>
      <c r="Q97" s="1">
        <f t="shared" si="1"/>
        <v>2</v>
      </c>
    </row>
    <row r="98" spans="1:17" x14ac:dyDescent="0.25">
      <c r="A98" s="2" t="s">
        <v>11</v>
      </c>
      <c r="B98" s="1">
        <f t="shared" si="1"/>
        <v>12</v>
      </c>
      <c r="C98" s="1">
        <f t="shared" si="1"/>
        <v>4</v>
      </c>
      <c r="D98" s="1">
        <f t="shared" si="1"/>
        <v>11</v>
      </c>
      <c r="E98" s="1">
        <f t="shared" si="1"/>
        <v>8</v>
      </c>
      <c r="F98" s="1">
        <f t="shared" si="1"/>
        <v>6</v>
      </c>
      <c r="G98" s="1">
        <f t="shared" si="1"/>
        <v>10</v>
      </c>
      <c r="H98" s="1">
        <f t="shared" si="1"/>
        <v>7</v>
      </c>
      <c r="I98" s="1">
        <f t="shared" si="1"/>
        <v>4</v>
      </c>
      <c r="J98" s="1">
        <f t="shared" si="1"/>
        <v>14</v>
      </c>
      <c r="K98" s="1">
        <f t="shared" si="1"/>
        <v>6</v>
      </c>
      <c r="L98" s="1">
        <f t="shared" si="1"/>
        <v>0</v>
      </c>
      <c r="M98" s="1">
        <f t="shared" si="1"/>
        <v>4</v>
      </c>
      <c r="N98" s="1">
        <f t="shared" si="1"/>
        <v>2</v>
      </c>
      <c r="O98" s="1">
        <f t="shared" si="1"/>
        <v>0</v>
      </c>
      <c r="P98" s="1">
        <f t="shared" si="1"/>
        <v>8</v>
      </c>
      <c r="Q98" s="1">
        <f t="shared" si="1"/>
        <v>2</v>
      </c>
    </row>
    <row r="99" spans="1:17" x14ac:dyDescent="0.25">
      <c r="A99" s="1" t="s">
        <v>9</v>
      </c>
      <c r="B99" s="1">
        <f t="shared" si="1"/>
        <v>5</v>
      </c>
      <c r="C99" s="1">
        <f t="shared" si="1"/>
        <v>2</v>
      </c>
      <c r="D99" s="1">
        <f t="shared" si="1"/>
        <v>6</v>
      </c>
      <c r="E99" s="1">
        <f t="shared" si="1"/>
        <v>8</v>
      </c>
      <c r="F99" s="1">
        <f t="shared" si="1"/>
        <v>14</v>
      </c>
      <c r="G99" s="1">
        <f t="shared" si="1"/>
        <v>11</v>
      </c>
      <c r="H99" s="1">
        <f t="shared" si="1"/>
        <v>11</v>
      </c>
      <c r="I99" s="1">
        <f t="shared" si="1"/>
        <v>6</v>
      </c>
      <c r="J99" s="1">
        <f t="shared" si="1"/>
        <v>10</v>
      </c>
      <c r="K99" s="1">
        <f t="shared" si="1"/>
        <v>7</v>
      </c>
      <c r="L99" s="1">
        <f t="shared" si="1"/>
        <v>4</v>
      </c>
      <c r="M99" s="1">
        <f t="shared" si="1"/>
        <v>0</v>
      </c>
      <c r="N99" s="1">
        <f t="shared" si="1"/>
        <v>2</v>
      </c>
      <c r="O99" s="1">
        <f t="shared" si="1"/>
        <v>0</v>
      </c>
      <c r="P99" s="1">
        <f t="shared" si="1"/>
        <v>6</v>
      </c>
      <c r="Q99" s="1">
        <f t="shared" si="1"/>
        <v>2</v>
      </c>
    </row>
    <row r="100" spans="1:17" x14ac:dyDescent="0.25">
      <c r="A100" s="1" t="s">
        <v>24</v>
      </c>
      <c r="B100" s="1">
        <f t="shared" si="1"/>
        <v>4</v>
      </c>
      <c r="C100" s="1">
        <f t="shared" si="1"/>
        <v>0</v>
      </c>
      <c r="D100" s="1">
        <f t="shared" si="1"/>
        <v>7</v>
      </c>
      <c r="E100" s="1">
        <f t="shared" si="1"/>
        <v>7</v>
      </c>
      <c r="F100" s="1">
        <f t="shared" si="1"/>
        <v>7</v>
      </c>
      <c r="G100" s="1">
        <f t="shared" si="1"/>
        <v>5</v>
      </c>
      <c r="H100" s="1">
        <f t="shared" si="1"/>
        <v>4</v>
      </c>
      <c r="I100" s="1">
        <f t="shared" si="1"/>
        <v>13</v>
      </c>
      <c r="J100" s="1">
        <f t="shared" si="1"/>
        <v>7</v>
      </c>
      <c r="K100" s="1">
        <f t="shared" si="1"/>
        <v>3</v>
      </c>
      <c r="L100" s="1">
        <f t="shared" si="1"/>
        <v>2</v>
      </c>
      <c r="M100" s="1">
        <f t="shared" si="1"/>
        <v>2</v>
      </c>
      <c r="N100" s="1">
        <f t="shared" si="1"/>
        <v>0</v>
      </c>
      <c r="O100" s="1">
        <f t="shared" si="1"/>
        <v>7</v>
      </c>
      <c r="P100" s="1">
        <f t="shared" si="1"/>
        <v>1</v>
      </c>
      <c r="Q100" s="1">
        <f t="shared" si="1"/>
        <v>1</v>
      </c>
    </row>
    <row r="101" spans="1:17" x14ac:dyDescent="0.25">
      <c r="A101" s="1" t="s">
        <v>26</v>
      </c>
      <c r="B101" s="1">
        <f t="shared" si="1"/>
        <v>2</v>
      </c>
      <c r="C101" s="1">
        <f t="shared" si="1"/>
        <v>0</v>
      </c>
      <c r="D101" s="1">
        <f t="shared" si="1"/>
        <v>3</v>
      </c>
      <c r="E101" s="1">
        <f t="shared" si="1"/>
        <v>0</v>
      </c>
      <c r="F101" s="1">
        <f t="shared" si="1"/>
        <v>2</v>
      </c>
      <c r="G101" s="1">
        <f t="shared" si="1"/>
        <v>1</v>
      </c>
      <c r="H101" s="1">
        <f t="shared" si="1"/>
        <v>0</v>
      </c>
      <c r="I101" s="1">
        <f t="shared" si="1"/>
        <v>5</v>
      </c>
      <c r="J101" s="1">
        <f t="shared" si="1"/>
        <v>2</v>
      </c>
      <c r="K101" s="1">
        <f t="shared" si="1"/>
        <v>2</v>
      </c>
      <c r="L101" s="1">
        <f t="shared" si="1"/>
        <v>0</v>
      </c>
      <c r="M101" s="1">
        <f t="shared" si="1"/>
        <v>0</v>
      </c>
      <c r="N101" s="1">
        <f t="shared" si="1"/>
        <v>7</v>
      </c>
      <c r="O101" s="1">
        <f t="shared" si="1"/>
        <v>0</v>
      </c>
      <c r="P101" s="1">
        <f t="shared" si="1"/>
        <v>0</v>
      </c>
      <c r="Q101" s="1">
        <f t="shared" si="1"/>
        <v>0</v>
      </c>
    </row>
    <row r="102" spans="1:17" x14ac:dyDescent="0.25">
      <c r="A102" s="1" t="s">
        <v>7</v>
      </c>
      <c r="B102" s="1">
        <f t="shared" si="1"/>
        <v>19</v>
      </c>
      <c r="C102" s="1">
        <f t="shared" si="1"/>
        <v>2</v>
      </c>
      <c r="D102" s="1">
        <f t="shared" si="1"/>
        <v>14</v>
      </c>
      <c r="E102" s="1">
        <f t="shared" si="1"/>
        <v>11</v>
      </c>
      <c r="F102" s="1">
        <f t="shared" si="1"/>
        <v>14</v>
      </c>
      <c r="G102" s="1">
        <f t="shared" si="1"/>
        <v>13</v>
      </c>
      <c r="H102" s="1">
        <f t="shared" si="1"/>
        <v>13</v>
      </c>
      <c r="I102" s="1">
        <f t="shared" si="1"/>
        <v>5</v>
      </c>
      <c r="J102" s="1">
        <f t="shared" si="1"/>
        <v>19</v>
      </c>
      <c r="K102" s="1">
        <f t="shared" si="1"/>
        <v>5</v>
      </c>
      <c r="L102" s="1">
        <f t="shared" si="1"/>
        <v>8</v>
      </c>
      <c r="M102" s="1">
        <f t="shared" si="1"/>
        <v>6</v>
      </c>
      <c r="N102" s="1">
        <f t="shared" si="1"/>
        <v>1</v>
      </c>
      <c r="O102" s="1">
        <f t="shared" si="1"/>
        <v>0</v>
      </c>
      <c r="P102" s="1">
        <f t="shared" si="1"/>
        <v>0</v>
      </c>
      <c r="Q102" s="1">
        <f t="shared" si="1"/>
        <v>0</v>
      </c>
    </row>
    <row r="103" spans="1:17" x14ac:dyDescent="0.25">
      <c r="A103" s="1" t="s">
        <v>10</v>
      </c>
      <c r="B103" s="1">
        <f t="shared" si="1"/>
        <v>1</v>
      </c>
      <c r="C103" s="1">
        <f t="shared" si="1"/>
        <v>0</v>
      </c>
      <c r="D103" s="1">
        <f t="shared" si="1"/>
        <v>0</v>
      </c>
      <c r="E103" s="1">
        <f t="shared" si="1"/>
        <v>0</v>
      </c>
      <c r="F103" s="1">
        <f t="shared" si="1"/>
        <v>0</v>
      </c>
      <c r="G103" s="1">
        <f t="shared" si="1"/>
        <v>0</v>
      </c>
      <c r="H103" s="1">
        <f t="shared" si="1"/>
        <v>0</v>
      </c>
      <c r="I103" s="1">
        <f t="shared" si="1"/>
        <v>4</v>
      </c>
      <c r="J103" s="1">
        <f t="shared" si="1"/>
        <v>4</v>
      </c>
      <c r="K103" s="1">
        <f t="shared" si="1"/>
        <v>2</v>
      </c>
      <c r="L103" s="1">
        <f t="shared" si="1"/>
        <v>2</v>
      </c>
      <c r="M103" s="1">
        <f t="shared" si="1"/>
        <v>2</v>
      </c>
      <c r="N103" s="1">
        <f t="shared" si="1"/>
        <v>1</v>
      </c>
      <c r="O103" s="1">
        <f t="shared" si="1"/>
        <v>0</v>
      </c>
      <c r="P103" s="1">
        <f t="shared" si="1"/>
        <v>0</v>
      </c>
      <c r="Q103" s="1">
        <f t="shared" si="1"/>
        <v>0</v>
      </c>
    </row>
    <row r="106" spans="1:17" x14ac:dyDescent="0.25">
      <c r="A106" s="3" t="s">
        <v>186</v>
      </c>
    </row>
    <row r="107" spans="1:17" x14ac:dyDescent="0.25">
      <c r="B107" s="1" t="s">
        <v>3</v>
      </c>
      <c r="C107" s="1" t="s">
        <v>18</v>
      </c>
      <c r="D107" s="1" t="s">
        <v>16</v>
      </c>
      <c r="E107" s="1" t="s">
        <v>22</v>
      </c>
      <c r="F107" s="1" t="s">
        <v>4</v>
      </c>
      <c r="G107" s="1" t="s">
        <v>6</v>
      </c>
      <c r="H107" s="1" t="s">
        <v>5</v>
      </c>
      <c r="I107" s="1" t="s">
        <v>8</v>
      </c>
      <c r="J107" s="1" t="s">
        <v>12</v>
      </c>
      <c r="K107" s="2" t="s">
        <v>23</v>
      </c>
      <c r="L107" s="2" t="s">
        <v>11</v>
      </c>
      <c r="M107" s="1" t="s">
        <v>9</v>
      </c>
      <c r="N107" s="1" t="s">
        <v>24</v>
      </c>
      <c r="O107" s="1" t="s">
        <v>26</v>
      </c>
      <c r="P107" s="1" t="s">
        <v>7</v>
      </c>
      <c r="Q107" s="1" t="s">
        <v>10</v>
      </c>
    </row>
    <row r="108" spans="1:17" x14ac:dyDescent="0.25">
      <c r="A108" s="1" t="s">
        <v>3</v>
      </c>
      <c r="B108" s="7" t="str">
        <f t="shared" ref="B108:Q123" si="2">IFERROR(B48/B88,"")</f>
        <v/>
      </c>
      <c r="C108" s="7">
        <f t="shared" si="2"/>
        <v>0.6</v>
      </c>
      <c r="D108" s="7">
        <f t="shared" si="2"/>
        <v>0.47368421052631576</v>
      </c>
      <c r="E108" s="7">
        <f t="shared" si="2"/>
        <v>0.42857142857142855</v>
      </c>
      <c r="F108" s="7">
        <f t="shared" si="2"/>
        <v>0.6</v>
      </c>
      <c r="G108" s="7">
        <f t="shared" si="2"/>
        <v>0.6875</v>
      </c>
      <c r="H108" s="7">
        <f t="shared" si="2"/>
        <v>0.6</v>
      </c>
      <c r="I108" s="7">
        <f t="shared" si="2"/>
        <v>0.8</v>
      </c>
      <c r="J108" s="7">
        <f t="shared" si="2"/>
        <v>0.53846153846153844</v>
      </c>
      <c r="K108" s="7">
        <f t="shared" si="2"/>
        <v>0.5</v>
      </c>
      <c r="L108" s="7">
        <f t="shared" si="2"/>
        <v>0.66666666666666663</v>
      </c>
      <c r="M108" s="7">
        <f t="shared" si="2"/>
        <v>0.2</v>
      </c>
      <c r="N108" s="7">
        <f t="shared" si="2"/>
        <v>0.25</v>
      </c>
      <c r="O108" s="7">
        <f t="shared" si="2"/>
        <v>0</v>
      </c>
      <c r="P108" s="7">
        <f t="shared" si="2"/>
        <v>0.73684210526315785</v>
      </c>
      <c r="Q108" s="7">
        <f t="shared" si="2"/>
        <v>0</v>
      </c>
    </row>
    <row r="109" spans="1:17" x14ac:dyDescent="0.25">
      <c r="A109" s="1" t="s">
        <v>18</v>
      </c>
      <c r="B109" s="7">
        <f t="shared" si="2"/>
        <v>0.6</v>
      </c>
      <c r="C109" s="7" t="str">
        <f t="shared" si="2"/>
        <v/>
      </c>
      <c r="D109" s="7">
        <f t="shared" si="2"/>
        <v>1</v>
      </c>
      <c r="E109" s="7">
        <f t="shared" si="2"/>
        <v>0</v>
      </c>
      <c r="F109" s="7">
        <f t="shared" si="2"/>
        <v>0.5</v>
      </c>
      <c r="G109" s="7">
        <f t="shared" si="2"/>
        <v>0</v>
      </c>
      <c r="H109" s="7">
        <f t="shared" si="2"/>
        <v>0.25</v>
      </c>
      <c r="I109" s="7">
        <f t="shared" si="2"/>
        <v>0.5</v>
      </c>
      <c r="J109" s="7">
        <f t="shared" si="2"/>
        <v>0.25</v>
      </c>
      <c r="K109" s="7">
        <f t="shared" si="2"/>
        <v>0.2</v>
      </c>
      <c r="L109" s="7">
        <f t="shared" si="2"/>
        <v>0.5</v>
      </c>
      <c r="M109" s="7">
        <f t="shared" si="2"/>
        <v>0</v>
      </c>
      <c r="N109" s="7" t="str">
        <f t="shared" si="2"/>
        <v/>
      </c>
      <c r="O109" s="7" t="str">
        <f t="shared" si="2"/>
        <v/>
      </c>
      <c r="P109" s="7">
        <f t="shared" si="2"/>
        <v>0.5</v>
      </c>
      <c r="Q109" s="7" t="str">
        <f t="shared" si="2"/>
        <v/>
      </c>
    </row>
    <row r="110" spans="1:17" x14ac:dyDescent="0.25">
      <c r="A110" s="1" t="s">
        <v>16</v>
      </c>
      <c r="B110" s="7">
        <f t="shared" si="2"/>
        <v>0.47368421052631576</v>
      </c>
      <c r="C110" s="7">
        <f t="shared" si="2"/>
        <v>1</v>
      </c>
      <c r="D110" s="7" t="str">
        <f t="shared" si="2"/>
        <v/>
      </c>
      <c r="E110" s="7">
        <f t="shared" si="2"/>
        <v>0.30769230769230771</v>
      </c>
      <c r="F110" s="7">
        <f t="shared" si="2"/>
        <v>0.54545454545454541</v>
      </c>
      <c r="G110" s="7">
        <f t="shared" si="2"/>
        <v>0.44444444444444442</v>
      </c>
      <c r="H110" s="7">
        <f t="shared" si="2"/>
        <v>0.42105263157894735</v>
      </c>
      <c r="I110" s="7">
        <f t="shared" si="2"/>
        <v>0.44444444444444442</v>
      </c>
      <c r="J110" s="7">
        <f t="shared" si="2"/>
        <v>0.44444444444444442</v>
      </c>
      <c r="K110" s="7">
        <f t="shared" si="2"/>
        <v>0.44444444444444442</v>
      </c>
      <c r="L110" s="7">
        <f t="shared" si="2"/>
        <v>0.54545454545454541</v>
      </c>
      <c r="M110" s="7">
        <f t="shared" si="2"/>
        <v>0.16666666666666666</v>
      </c>
      <c r="N110" s="7">
        <f t="shared" si="2"/>
        <v>0.14285714285714285</v>
      </c>
      <c r="O110" s="7">
        <f t="shared" si="2"/>
        <v>0.33333333333333331</v>
      </c>
      <c r="P110" s="7">
        <f t="shared" si="2"/>
        <v>0.6428571428571429</v>
      </c>
      <c r="Q110" s="7" t="str">
        <f t="shared" si="2"/>
        <v/>
      </c>
    </row>
    <row r="111" spans="1:17" x14ac:dyDescent="0.25">
      <c r="A111" s="1" t="s">
        <v>22</v>
      </c>
      <c r="B111" s="7">
        <f t="shared" si="2"/>
        <v>0.42857142857142855</v>
      </c>
      <c r="C111" s="7">
        <f t="shared" si="2"/>
        <v>0</v>
      </c>
      <c r="D111" s="7">
        <f t="shared" si="2"/>
        <v>0.30769230769230771</v>
      </c>
      <c r="E111" s="7" t="str">
        <f t="shared" si="2"/>
        <v/>
      </c>
      <c r="F111" s="7">
        <f t="shared" si="2"/>
        <v>0.5714285714285714</v>
      </c>
      <c r="G111" s="7">
        <f t="shared" si="2"/>
        <v>0.52631578947368418</v>
      </c>
      <c r="H111" s="7">
        <f t="shared" si="2"/>
        <v>0.55555555555555558</v>
      </c>
      <c r="I111" s="7">
        <f t="shared" si="2"/>
        <v>0.5</v>
      </c>
      <c r="J111" s="7">
        <f t="shared" si="2"/>
        <v>0.47058823529411764</v>
      </c>
      <c r="K111" s="7">
        <f t="shared" si="2"/>
        <v>0.125</v>
      </c>
      <c r="L111" s="7">
        <f t="shared" si="2"/>
        <v>0.5</v>
      </c>
      <c r="M111" s="7">
        <f t="shared" si="2"/>
        <v>0.5</v>
      </c>
      <c r="N111" s="7">
        <f t="shared" si="2"/>
        <v>0.42857142857142855</v>
      </c>
      <c r="O111" s="7" t="str">
        <f t="shared" si="2"/>
        <v/>
      </c>
      <c r="P111" s="7">
        <f t="shared" si="2"/>
        <v>0.54545454545454541</v>
      </c>
      <c r="Q111" s="7" t="str">
        <f t="shared" si="2"/>
        <v/>
      </c>
    </row>
    <row r="112" spans="1:17" x14ac:dyDescent="0.25">
      <c r="A112" s="1" t="s">
        <v>4</v>
      </c>
      <c r="B112" s="7">
        <f t="shared" si="2"/>
        <v>0.6</v>
      </c>
      <c r="C112" s="7">
        <f t="shared" si="2"/>
        <v>0.5</v>
      </c>
      <c r="D112" s="7">
        <f t="shared" si="2"/>
        <v>0.54545454545454541</v>
      </c>
      <c r="E112" s="7">
        <f t="shared" si="2"/>
        <v>0.5714285714285714</v>
      </c>
      <c r="F112" s="7" t="str">
        <f t="shared" si="2"/>
        <v/>
      </c>
      <c r="G112" s="7">
        <f t="shared" si="2"/>
        <v>0.66666666666666663</v>
      </c>
      <c r="H112" s="7">
        <f t="shared" si="2"/>
        <v>0.59259259259259256</v>
      </c>
      <c r="I112" s="7">
        <f t="shared" si="2"/>
        <v>0.72727272727272729</v>
      </c>
      <c r="J112" s="7">
        <f t="shared" si="2"/>
        <v>0.69230769230769229</v>
      </c>
      <c r="K112" s="7">
        <f t="shared" si="2"/>
        <v>0.46153846153846156</v>
      </c>
      <c r="L112" s="7">
        <f t="shared" si="2"/>
        <v>0.5</v>
      </c>
      <c r="M112" s="7">
        <f t="shared" si="2"/>
        <v>0.35714285714285715</v>
      </c>
      <c r="N112" s="7">
        <f t="shared" si="2"/>
        <v>0.5714285714285714</v>
      </c>
      <c r="O112" s="7">
        <f t="shared" si="2"/>
        <v>1</v>
      </c>
      <c r="P112" s="7">
        <f t="shared" si="2"/>
        <v>0.8571428571428571</v>
      </c>
      <c r="Q112" s="7" t="str">
        <f t="shared" si="2"/>
        <v/>
      </c>
    </row>
    <row r="113" spans="1:17" x14ac:dyDescent="0.25">
      <c r="A113" s="1" t="s">
        <v>6</v>
      </c>
      <c r="B113" s="7">
        <f t="shared" si="2"/>
        <v>0.6875</v>
      </c>
      <c r="C113" s="7">
        <f t="shared" si="2"/>
        <v>0</v>
      </c>
      <c r="D113" s="7">
        <f t="shared" si="2"/>
        <v>0.44444444444444442</v>
      </c>
      <c r="E113" s="7">
        <f t="shared" si="2"/>
        <v>0.52631578947368418</v>
      </c>
      <c r="F113" s="7">
        <f t="shared" si="2"/>
        <v>0.66666666666666663</v>
      </c>
      <c r="G113" s="7" t="str">
        <f t="shared" si="2"/>
        <v/>
      </c>
      <c r="H113" s="7">
        <f t="shared" si="2"/>
        <v>0.60869565217391308</v>
      </c>
      <c r="I113" s="7">
        <f t="shared" si="2"/>
        <v>0.42857142857142855</v>
      </c>
      <c r="J113" s="7">
        <f t="shared" si="2"/>
        <v>0.61111111111111116</v>
      </c>
      <c r="K113" s="7">
        <f t="shared" si="2"/>
        <v>0.41666666666666669</v>
      </c>
      <c r="L113" s="7">
        <f t="shared" si="2"/>
        <v>0.7</v>
      </c>
      <c r="M113" s="7">
        <f t="shared" si="2"/>
        <v>0.45454545454545453</v>
      </c>
      <c r="N113" s="7">
        <f t="shared" si="2"/>
        <v>0.4</v>
      </c>
      <c r="O113" s="7">
        <f t="shared" si="2"/>
        <v>0</v>
      </c>
      <c r="P113" s="7">
        <f t="shared" si="2"/>
        <v>0.84615384615384615</v>
      </c>
      <c r="Q113" s="7" t="str">
        <f t="shared" si="2"/>
        <v/>
      </c>
    </row>
    <row r="114" spans="1:17" x14ac:dyDescent="0.25">
      <c r="A114" s="1" t="s">
        <v>5</v>
      </c>
      <c r="B114" s="7">
        <f t="shared" si="2"/>
        <v>0.6</v>
      </c>
      <c r="C114" s="7">
        <f t="shared" si="2"/>
        <v>0.25</v>
      </c>
      <c r="D114" s="7">
        <f t="shared" si="2"/>
        <v>0.42105263157894735</v>
      </c>
      <c r="E114" s="7">
        <f t="shared" si="2"/>
        <v>0.55555555555555558</v>
      </c>
      <c r="F114" s="7">
        <f t="shared" si="2"/>
        <v>0.59259259259259256</v>
      </c>
      <c r="G114" s="7">
        <f t="shared" si="2"/>
        <v>0.60869565217391308</v>
      </c>
      <c r="H114" s="7" t="str">
        <f t="shared" si="2"/>
        <v/>
      </c>
      <c r="I114" s="7">
        <f t="shared" si="2"/>
        <v>0.41666666666666669</v>
      </c>
      <c r="J114" s="7">
        <f t="shared" si="2"/>
        <v>0.5</v>
      </c>
      <c r="K114" s="7">
        <f t="shared" si="2"/>
        <v>0.42857142857142855</v>
      </c>
      <c r="L114" s="7">
        <f t="shared" si="2"/>
        <v>0.5714285714285714</v>
      </c>
      <c r="M114" s="7">
        <f t="shared" si="2"/>
        <v>0.36363636363636365</v>
      </c>
      <c r="N114" s="7">
        <f t="shared" si="2"/>
        <v>0.25</v>
      </c>
      <c r="O114" s="7" t="str">
        <f t="shared" si="2"/>
        <v/>
      </c>
      <c r="P114" s="7">
        <f t="shared" si="2"/>
        <v>0.76923076923076927</v>
      </c>
      <c r="Q114" s="7" t="str">
        <f t="shared" si="2"/>
        <v/>
      </c>
    </row>
    <row r="115" spans="1:17" x14ac:dyDescent="0.25">
      <c r="A115" s="1" t="s">
        <v>8</v>
      </c>
      <c r="B115" s="7">
        <f t="shared" si="2"/>
        <v>0.8</v>
      </c>
      <c r="C115" s="7">
        <f t="shared" si="2"/>
        <v>0.5</v>
      </c>
      <c r="D115" s="7">
        <f t="shared" si="2"/>
        <v>0.44444444444444442</v>
      </c>
      <c r="E115" s="7">
        <f t="shared" si="2"/>
        <v>0.5</v>
      </c>
      <c r="F115" s="7">
        <f t="shared" si="2"/>
        <v>0.72727272727272729</v>
      </c>
      <c r="G115" s="7">
        <f t="shared" si="2"/>
        <v>0.42857142857142855</v>
      </c>
      <c r="H115" s="7">
        <f t="shared" si="2"/>
        <v>0.41666666666666669</v>
      </c>
      <c r="I115" s="7" t="str">
        <f t="shared" si="2"/>
        <v/>
      </c>
      <c r="J115" s="7">
        <f t="shared" si="2"/>
        <v>0.375</v>
      </c>
      <c r="K115" s="7">
        <f t="shared" si="2"/>
        <v>0.44444444444444442</v>
      </c>
      <c r="L115" s="7">
        <f t="shared" si="2"/>
        <v>0.5</v>
      </c>
      <c r="M115" s="7">
        <f t="shared" si="2"/>
        <v>0</v>
      </c>
      <c r="N115" s="7">
        <f t="shared" si="2"/>
        <v>0.38461538461538464</v>
      </c>
      <c r="O115" s="7">
        <f t="shared" si="2"/>
        <v>0.6</v>
      </c>
      <c r="P115" s="7">
        <f t="shared" si="2"/>
        <v>1</v>
      </c>
      <c r="Q115" s="7">
        <f t="shared" si="2"/>
        <v>0</v>
      </c>
    </row>
    <row r="116" spans="1:17" x14ac:dyDescent="0.25">
      <c r="A116" s="1" t="s">
        <v>12</v>
      </c>
      <c r="B116" s="7">
        <f t="shared" si="2"/>
        <v>0.53846153846153844</v>
      </c>
      <c r="C116" s="7">
        <f t="shared" si="2"/>
        <v>0.25</v>
      </c>
      <c r="D116" s="7">
        <f t="shared" si="2"/>
        <v>0.44444444444444442</v>
      </c>
      <c r="E116" s="7">
        <f t="shared" si="2"/>
        <v>0.47058823529411764</v>
      </c>
      <c r="F116" s="7">
        <f t="shared" si="2"/>
        <v>0.69230769230769229</v>
      </c>
      <c r="G116" s="7">
        <f t="shared" si="2"/>
        <v>0.61111111111111116</v>
      </c>
      <c r="H116" s="7">
        <f t="shared" si="2"/>
        <v>0.5</v>
      </c>
      <c r="I116" s="7">
        <f t="shared" si="2"/>
        <v>0.375</v>
      </c>
      <c r="J116" s="7" t="str">
        <f t="shared" si="2"/>
        <v/>
      </c>
      <c r="K116" s="7">
        <f t="shared" si="2"/>
        <v>0.3</v>
      </c>
      <c r="L116" s="7">
        <f t="shared" si="2"/>
        <v>0.6428571428571429</v>
      </c>
      <c r="M116" s="7">
        <f t="shared" si="2"/>
        <v>0.5</v>
      </c>
      <c r="N116" s="7">
        <f t="shared" si="2"/>
        <v>0.14285714285714285</v>
      </c>
      <c r="O116" s="7">
        <f t="shared" si="2"/>
        <v>0</v>
      </c>
      <c r="P116" s="7">
        <f t="shared" si="2"/>
        <v>0.68421052631578949</v>
      </c>
      <c r="Q116" s="7">
        <f t="shared" si="2"/>
        <v>0</v>
      </c>
    </row>
    <row r="117" spans="1:17" x14ac:dyDescent="0.25">
      <c r="A117" s="2" t="s">
        <v>23</v>
      </c>
      <c r="B117" s="7">
        <f t="shared" si="2"/>
        <v>0.5</v>
      </c>
      <c r="C117" s="7">
        <f t="shared" si="2"/>
        <v>0.2</v>
      </c>
      <c r="D117" s="7">
        <f t="shared" si="2"/>
        <v>0.44444444444444442</v>
      </c>
      <c r="E117" s="7">
        <f t="shared" si="2"/>
        <v>0.125</v>
      </c>
      <c r="F117" s="7">
        <f t="shared" si="2"/>
        <v>0.46153846153846156</v>
      </c>
      <c r="G117" s="7">
        <f t="shared" si="2"/>
        <v>0.41666666666666669</v>
      </c>
      <c r="H117" s="7">
        <f t="shared" si="2"/>
        <v>0.42857142857142855</v>
      </c>
      <c r="I117" s="7">
        <f t="shared" si="2"/>
        <v>0.44444444444444442</v>
      </c>
      <c r="J117" s="7">
        <f t="shared" si="2"/>
        <v>0.3</v>
      </c>
      <c r="K117" s="7" t="str">
        <f t="shared" si="2"/>
        <v/>
      </c>
      <c r="L117" s="7">
        <f t="shared" si="2"/>
        <v>0.66666666666666663</v>
      </c>
      <c r="M117" s="7">
        <f t="shared" si="2"/>
        <v>0.14285714285714285</v>
      </c>
      <c r="N117" s="7">
        <f t="shared" si="2"/>
        <v>0.66666666666666663</v>
      </c>
      <c r="O117" s="7">
        <f t="shared" si="2"/>
        <v>1</v>
      </c>
      <c r="P117" s="7">
        <f t="shared" si="2"/>
        <v>0.6</v>
      </c>
      <c r="Q117" s="7">
        <f t="shared" si="2"/>
        <v>0</v>
      </c>
    </row>
    <row r="118" spans="1:17" x14ac:dyDescent="0.25">
      <c r="A118" s="2" t="s">
        <v>11</v>
      </c>
      <c r="B118" s="7">
        <f t="shared" si="2"/>
        <v>0.66666666666666663</v>
      </c>
      <c r="C118" s="7">
        <f t="shared" si="2"/>
        <v>0.5</v>
      </c>
      <c r="D118" s="7">
        <f t="shared" si="2"/>
        <v>0.54545454545454541</v>
      </c>
      <c r="E118" s="7">
        <f t="shared" si="2"/>
        <v>0.5</v>
      </c>
      <c r="F118" s="7">
        <f t="shared" si="2"/>
        <v>0.5</v>
      </c>
      <c r="G118" s="7">
        <f t="shared" si="2"/>
        <v>0.7</v>
      </c>
      <c r="H118" s="7">
        <f t="shared" si="2"/>
        <v>0.5714285714285714</v>
      </c>
      <c r="I118" s="7">
        <f t="shared" si="2"/>
        <v>0.5</v>
      </c>
      <c r="J118" s="7">
        <f t="shared" si="2"/>
        <v>0.6428571428571429</v>
      </c>
      <c r="K118" s="7">
        <f t="shared" si="2"/>
        <v>0.66666666666666663</v>
      </c>
      <c r="L118" s="7" t="str">
        <f t="shared" si="2"/>
        <v/>
      </c>
      <c r="M118" s="7">
        <f t="shared" si="2"/>
        <v>0.25</v>
      </c>
      <c r="N118" s="7">
        <f t="shared" si="2"/>
        <v>0.5</v>
      </c>
      <c r="O118" s="7" t="str">
        <f t="shared" si="2"/>
        <v/>
      </c>
      <c r="P118" s="7">
        <f t="shared" si="2"/>
        <v>0.875</v>
      </c>
      <c r="Q118" s="7">
        <f t="shared" si="2"/>
        <v>0</v>
      </c>
    </row>
    <row r="119" spans="1:17" x14ac:dyDescent="0.25">
      <c r="A119" s="1" t="s">
        <v>9</v>
      </c>
      <c r="B119" s="7">
        <f t="shared" si="2"/>
        <v>0.2</v>
      </c>
      <c r="C119" s="7">
        <f t="shared" si="2"/>
        <v>0</v>
      </c>
      <c r="D119" s="7">
        <f t="shared" si="2"/>
        <v>0.16666666666666666</v>
      </c>
      <c r="E119" s="7">
        <f t="shared" si="2"/>
        <v>0.5</v>
      </c>
      <c r="F119" s="7">
        <f t="shared" si="2"/>
        <v>0.35714285714285715</v>
      </c>
      <c r="G119" s="7">
        <f t="shared" si="2"/>
        <v>0.45454545454545453</v>
      </c>
      <c r="H119" s="7">
        <f t="shared" si="2"/>
        <v>0.36363636363636365</v>
      </c>
      <c r="I119" s="7">
        <f t="shared" si="2"/>
        <v>0</v>
      </c>
      <c r="J119" s="7">
        <f t="shared" si="2"/>
        <v>0.5</v>
      </c>
      <c r="K119" s="7">
        <f t="shared" si="2"/>
        <v>0.14285714285714285</v>
      </c>
      <c r="L119" s="7">
        <f t="shared" si="2"/>
        <v>0.25</v>
      </c>
      <c r="M119" s="7" t="str">
        <f t="shared" si="2"/>
        <v/>
      </c>
      <c r="N119" s="7">
        <f t="shared" si="2"/>
        <v>0</v>
      </c>
      <c r="O119" s="7" t="str">
        <f t="shared" si="2"/>
        <v/>
      </c>
      <c r="P119" s="7">
        <f t="shared" si="2"/>
        <v>0.66666666666666663</v>
      </c>
      <c r="Q119" s="7">
        <f t="shared" si="2"/>
        <v>0</v>
      </c>
    </row>
    <row r="120" spans="1:17" x14ac:dyDescent="0.25">
      <c r="A120" s="1" t="s">
        <v>24</v>
      </c>
      <c r="B120" s="7">
        <f t="shared" si="2"/>
        <v>0.25</v>
      </c>
      <c r="C120" s="7" t="str">
        <f t="shared" si="2"/>
        <v/>
      </c>
      <c r="D120" s="7">
        <f t="shared" si="2"/>
        <v>0.14285714285714285</v>
      </c>
      <c r="E120" s="7">
        <f t="shared" si="2"/>
        <v>0.42857142857142855</v>
      </c>
      <c r="F120" s="7">
        <f t="shared" si="2"/>
        <v>0.5714285714285714</v>
      </c>
      <c r="G120" s="7">
        <f t="shared" si="2"/>
        <v>0.4</v>
      </c>
      <c r="H120" s="7">
        <f t="shared" si="2"/>
        <v>0.25</v>
      </c>
      <c r="I120" s="7">
        <f t="shared" si="2"/>
        <v>0.38461538461538464</v>
      </c>
      <c r="J120" s="7">
        <f t="shared" si="2"/>
        <v>0.14285714285714285</v>
      </c>
      <c r="K120" s="7">
        <f t="shared" si="2"/>
        <v>0.66666666666666663</v>
      </c>
      <c r="L120" s="7">
        <f t="shared" si="2"/>
        <v>0.5</v>
      </c>
      <c r="M120" s="7">
        <f t="shared" si="2"/>
        <v>0</v>
      </c>
      <c r="N120" s="7" t="str">
        <f t="shared" si="2"/>
        <v/>
      </c>
      <c r="O120" s="7">
        <f t="shared" si="2"/>
        <v>0.42857142857142855</v>
      </c>
      <c r="P120" s="7">
        <f t="shared" si="2"/>
        <v>1</v>
      </c>
      <c r="Q120" s="7">
        <f t="shared" si="2"/>
        <v>0</v>
      </c>
    </row>
    <row r="121" spans="1:17" x14ac:dyDescent="0.25">
      <c r="A121" s="1" t="s">
        <v>26</v>
      </c>
      <c r="B121" s="7">
        <f t="shared" si="2"/>
        <v>0</v>
      </c>
      <c r="C121" s="7" t="str">
        <f t="shared" si="2"/>
        <v/>
      </c>
      <c r="D121" s="7">
        <f t="shared" si="2"/>
        <v>0.33333333333333331</v>
      </c>
      <c r="E121" s="7" t="str">
        <f t="shared" si="2"/>
        <v/>
      </c>
      <c r="F121" s="7">
        <f t="shared" si="2"/>
        <v>1</v>
      </c>
      <c r="G121" s="7">
        <f t="shared" si="2"/>
        <v>0</v>
      </c>
      <c r="H121" s="7" t="str">
        <f t="shared" si="2"/>
        <v/>
      </c>
      <c r="I121" s="7">
        <f t="shared" si="2"/>
        <v>0.6</v>
      </c>
      <c r="J121" s="7">
        <f t="shared" si="2"/>
        <v>0</v>
      </c>
      <c r="K121" s="7">
        <f t="shared" si="2"/>
        <v>1</v>
      </c>
      <c r="L121" s="7" t="str">
        <f t="shared" si="2"/>
        <v/>
      </c>
      <c r="M121" s="7" t="str">
        <f t="shared" si="2"/>
        <v/>
      </c>
      <c r="N121" s="7">
        <f t="shared" si="2"/>
        <v>0.42857142857142855</v>
      </c>
      <c r="O121" s="7" t="str">
        <f t="shared" si="2"/>
        <v/>
      </c>
      <c r="P121" s="7" t="str">
        <f t="shared" si="2"/>
        <v/>
      </c>
      <c r="Q121" s="7" t="str">
        <f t="shared" si="2"/>
        <v/>
      </c>
    </row>
    <row r="122" spans="1:17" x14ac:dyDescent="0.25">
      <c r="A122" s="1" t="s">
        <v>7</v>
      </c>
      <c r="B122" s="7">
        <f t="shared" si="2"/>
        <v>0.73684210526315785</v>
      </c>
      <c r="C122" s="7">
        <f t="shared" si="2"/>
        <v>0.5</v>
      </c>
      <c r="D122" s="7">
        <f t="shared" si="2"/>
        <v>0.6428571428571429</v>
      </c>
      <c r="E122" s="7">
        <f t="shared" si="2"/>
        <v>0.54545454545454541</v>
      </c>
      <c r="F122" s="7">
        <f t="shared" si="2"/>
        <v>0.8571428571428571</v>
      </c>
      <c r="G122" s="7">
        <f t="shared" si="2"/>
        <v>0.84615384615384615</v>
      </c>
      <c r="H122" s="7">
        <f t="shared" si="2"/>
        <v>0.76923076923076927</v>
      </c>
      <c r="I122" s="7">
        <f t="shared" si="2"/>
        <v>1</v>
      </c>
      <c r="J122" s="7">
        <f t="shared" si="2"/>
        <v>0.68421052631578949</v>
      </c>
      <c r="K122" s="7">
        <f t="shared" si="2"/>
        <v>0.6</v>
      </c>
      <c r="L122" s="7">
        <f t="shared" si="2"/>
        <v>0.875</v>
      </c>
      <c r="M122" s="7">
        <f t="shared" si="2"/>
        <v>0.66666666666666663</v>
      </c>
      <c r="N122" s="7">
        <f t="shared" si="2"/>
        <v>1</v>
      </c>
      <c r="O122" s="7" t="str">
        <f t="shared" si="2"/>
        <v/>
      </c>
      <c r="P122" s="7" t="str">
        <f t="shared" si="2"/>
        <v/>
      </c>
      <c r="Q122" s="7" t="str">
        <f t="shared" si="2"/>
        <v/>
      </c>
    </row>
    <row r="123" spans="1:17" x14ac:dyDescent="0.25">
      <c r="A123" s="1" t="s">
        <v>10</v>
      </c>
      <c r="B123" s="7">
        <f t="shared" si="2"/>
        <v>0</v>
      </c>
      <c r="C123" s="7" t="str">
        <f t="shared" si="2"/>
        <v/>
      </c>
      <c r="D123" s="7" t="str">
        <f t="shared" si="2"/>
        <v/>
      </c>
      <c r="E123" s="7" t="str">
        <f t="shared" si="2"/>
        <v/>
      </c>
      <c r="F123" s="7" t="str">
        <f t="shared" si="2"/>
        <v/>
      </c>
      <c r="G123" s="7" t="str">
        <f t="shared" si="2"/>
        <v/>
      </c>
      <c r="H123" s="7" t="str">
        <f t="shared" si="2"/>
        <v/>
      </c>
      <c r="I123" s="7">
        <f t="shared" si="2"/>
        <v>0</v>
      </c>
      <c r="J123" s="7">
        <f t="shared" si="2"/>
        <v>0</v>
      </c>
      <c r="K123" s="7">
        <f t="shared" si="2"/>
        <v>0</v>
      </c>
      <c r="L123" s="7">
        <f t="shared" si="2"/>
        <v>0</v>
      </c>
      <c r="M123" s="7">
        <f t="shared" si="2"/>
        <v>0</v>
      </c>
      <c r="N123" s="7">
        <f t="shared" si="2"/>
        <v>0</v>
      </c>
      <c r="O123" s="7" t="str">
        <f t="shared" si="2"/>
        <v/>
      </c>
      <c r="P123" s="7" t="str">
        <f t="shared" si="2"/>
        <v/>
      </c>
      <c r="Q123" s="7" t="str">
        <f t="shared" ref="Q123" si="3">IFERROR(Q63/Q103,"")</f>
        <v/>
      </c>
    </row>
    <row r="126" spans="1:17" x14ac:dyDescent="0.25">
      <c r="A126" s="4" t="s">
        <v>187</v>
      </c>
    </row>
    <row r="127" spans="1:17" x14ac:dyDescent="0.25">
      <c r="A127" s="4"/>
      <c r="B127" s="43" t="s">
        <v>35</v>
      </c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</row>
    <row r="128" spans="1:17" x14ac:dyDescent="0.25">
      <c r="B128" s="1" t="s">
        <v>3</v>
      </c>
      <c r="C128" s="1" t="s">
        <v>18</v>
      </c>
      <c r="D128" s="1" t="s">
        <v>16</v>
      </c>
      <c r="E128" s="1" t="s">
        <v>22</v>
      </c>
      <c r="F128" s="1" t="s">
        <v>4</v>
      </c>
      <c r="G128" s="1" t="s">
        <v>6</v>
      </c>
      <c r="H128" s="1" t="s">
        <v>5</v>
      </c>
      <c r="I128" s="1" t="s">
        <v>8</v>
      </c>
      <c r="J128" s="1" t="s">
        <v>12</v>
      </c>
      <c r="K128" s="2" t="s">
        <v>23</v>
      </c>
      <c r="L128" s="2" t="s">
        <v>11</v>
      </c>
      <c r="M128" s="1" t="s">
        <v>9</v>
      </c>
      <c r="N128" s="1" t="s">
        <v>24</v>
      </c>
      <c r="O128" s="1" t="s">
        <v>26</v>
      </c>
      <c r="P128" s="1" t="s">
        <v>7</v>
      </c>
      <c r="Q128" s="1" t="s">
        <v>10</v>
      </c>
    </row>
    <row r="129" spans="1:17" x14ac:dyDescent="0.25">
      <c r="A129" s="1" t="s">
        <v>3</v>
      </c>
      <c r="B129" s="1">
        <v>0</v>
      </c>
      <c r="C129" s="1">
        <v>0</v>
      </c>
      <c r="D129" s="1">
        <v>7</v>
      </c>
      <c r="E129" s="1">
        <v>8</v>
      </c>
      <c r="F129" s="1">
        <v>12</v>
      </c>
      <c r="G129" s="1">
        <v>11</v>
      </c>
      <c r="H129" s="1">
        <v>11</v>
      </c>
      <c r="I129" s="1">
        <v>9</v>
      </c>
      <c r="J129" s="1">
        <v>7</v>
      </c>
      <c r="K129" s="1">
        <v>5</v>
      </c>
      <c r="L129" s="1">
        <v>6</v>
      </c>
      <c r="M129" s="1">
        <v>5</v>
      </c>
      <c r="N129" s="1">
        <v>6</v>
      </c>
      <c r="O129" s="1">
        <v>3</v>
      </c>
      <c r="P129" s="1">
        <v>6</v>
      </c>
      <c r="Q129" s="1">
        <v>0</v>
      </c>
    </row>
    <row r="130" spans="1:17" x14ac:dyDescent="0.25">
      <c r="A130" s="1" t="s">
        <v>18</v>
      </c>
      <c r="B130" s="1">
        <v>4</v>
      </c>
      <c r="C130" s="1">
        <v>0</v>
      </c>
      <c r="D130" s="1">
        <v>5</v>
      </c>
      <c r="E130" s="1">
        <v>0</v>
      </c>
      <c r="F130" s="1">
        <v>5</v>
      </c>
      <c r="G130" s="1">
        <v>2</v>
      </c>
      <c r="H130" s="1">
        <v>3</v>
      </c>
      <c r="I130" s="1">
        <v>2</v>
      </c>
      <c r="J130" s="1">
        <v>3</v>
      </c>
      <c r="K130" s="1">
        <v>2</v>
      </c>
      <c r="L130" s="1">
        <v>1</v>
      </c>
      <c r="M130" s="1">
        <v>0</v>
      </c>
      <c r="N130" s="1">
        <v>0</v>
      </c>
      <c r="O130" s="1">
        <v>0</v>
      </c>
      <c r="P130" s="1">
        <v>2</v>
      </c>
      <c r="Q130" s="1">
        <v>0</v>
      </c>
    </row>
    <row r="131" spans="1:17" x14ac:dyDescent="0.25">
      <c r="A131" s="1" t="s">
        <v>16</v>
      </c>
      <c r="B131" s="1">
        <v>8</v>
      </c>
      <c r="C131" s="1">
        <v>2</v>
      </c>
      <c r="D131" s="1">
        <v>0</v>
      </c>
      <c r="E131" s="1">
        <v>10</v>
      </c>
      <c r="F131" s="1">
        <v>11</v>
      </c>
      <c r="G131" s="1">
        <v>13</v>
      </c>
      <c r="H131" s="1">
        <v>9</v>
      </c>
      <c r="I131" s="1">
        <v>6</v>
      </c>
      <c r="J131" s="1">
        <v>17</v>
      </c>
      <c r="K131" s="1">
        <v>6</v>
      </c>
      <c r="L131" s="1">
        <v>6</v>
      </c>
      <c r="M131" s="1">
        <v>6</v>
      </c>
      <c r="N131" s="1">
        <v>3</v>
      </c>
      <c r="O131" s="1">
        <v>2</v>
      </c>
      <c r="P131" s="1">
        <v>8</v>
      </c>
      <c r="Q131" s="1">
        <v>0</v>
      </c>
    </row>
    <row r="132" spans="1:17" x14ac:dyDescent="0.25">
      <c r="A132" s="1" t="s">
        <v>22</v>
      </c>
      <c r="B132" s="1">
        <v>11</v>
      </c>
      <c r="C132" s="1">
        <v>2</v>
      </c>
      <c r="D132" s="1">
        <v>8</v>
      </c>
      <c r="E132" s="1">
        <v>0</v>
      </c>
      <c r="F132" s="1">
        <v>12</v>
      </c>
      <c r="G132" s="1">
        <v>9</v>
      </c>
      <c r="H132" s="1">
        <v>10</v>
      </c>
      <c r="I132" s="1">
        <v>7</v>
      </c>
      <c r="J132" s="1">
        <v>11</v>
      </c>
      <c r="K132" s="1">
        <v>8</v>
      </c>
      <c r="L132" s="1">
        <v>7</v>
      </c>
      <c r="M132" s="1">
        <v>4</v>
      </c>
      <c r="N132" s="1">
        <v>2</v>
      </c>
      <c r="O132" s="1">
        <v>1</v>
      </c>
      <c r="P132" s="1">
        <v>10</v>
      </c>
      <c r="Q132" s="1">
        <v>0</v>
      </c>
    </row>
    <row r="133" spans="1:17" x14ac:dyDescent="0.25">
      <c r="A133" s="1" t="s">
        <v>4</v>
      </c>
      <c r="B133" s="1">
        <v>11</v>
      </c>
      <c r="C133" s="1">
        <v>2</v>
      </c>
      <c r="D133" s="1">
        <v>5</v>
      </c>
      <c r="E133" s="1">
        <v>4</v>
      </c>
      <c r="F133" s="1">
        <v>0</v>
      </c>
      <c r="G133" s="1">
        <v>11</v>
      </c>
      <c r="H133" s="1">
        <v>8</v>
      </c>
      <c r="I133" s="1">
        <v>6</v>
      </c>
      <c r="J133" s="1">
        <v>14</v>
      </c>
      <c r="K133" s="1">
        <v>6</v>
      </c>
      <c r="L133" s="1">
        <v>10</v>
      </c>
      <c r="M133" s="1">
        <v>3</v>
      </c>
      <c r="N133" s="1">
        <v>2</v>
      </c>
      <c r="O133" s="1">
        <v>1</v>
      </c>
      <c r="P133" s="1">
        <v>13</v>
      </c>
      <c r="Q133" s="1">
        <v>0</v>
      </c>
    </row>
    <row r="134" spans="1:17" x14ac:dyDescent="0.25">
      <c r="A134" s="1" t="s">
        <v>6</v>
      </c>
      <c r="B134" s="1">
        <v>9</v>
      </c>
      <c r="C134" s="1">
        <v>2</v>
      </c>
      <c r="D134" s="1">
        <v>10</v>
      </c>
      <c r="E134" s="1">
        <v>6</v>
      </c>
      <c r="F134" s="1">
        <v>11</v>
      </c>
      <c r="G134" s="1">
        <v>0</v>
      </c>
      <c r="H134" s="1">
        <v>6</v>
      </c>
      <c r="I134" s="1">
        <v>4</v>
      </c>
      <c r="J134" s="1">
        <v>9</v>
      </c>
      <c r="K134" s="1">
        <v>4</v>
      </c>
      <c r="L134" s="1">
        <v>8</v>
      </c>
      <c r="M134" s="1">
        <v>3</v>
      </c>
      <c r="N134" s="1">
        <v>3</v>
      </c>
      <c r="O134" s="1">
        <v>1</v>
      </c>
      <c r="P134" s="1">
        <v>11</v>
      </c>
      <c r="Q134" s="1">
        <v>0</v>
      </c>
    </row>
    <row r="135" spans="1:17" x14ac:dyDescent="0.25">
      <c r="A135" s="1" t="s">
        <v>5</v>
      </c>
      <c r="B135" s="1">
        <v>15</v>
      </c>
      <c r="C135" s="1">
        <v>2</v>
      </c>
      <c r="D135" s="1">
        <v>7</v>
      </c>
      <c r="E135" s="1">
        <v>7</v>
      </c>
      <c r="F135" s="1">
        <v>10</v>
      </c>
      <c r="G135" s="1">
        <v>9</v>
      </c>
      <c r="H135" s="1">
        <v>0</v>
      </c>
      <c r="I135" s="1">
        <v>8</v>
      </c>
      <c r="J135" s="1">
        <v>14</v>
      </c>
      <c r="K135" s="1">
        <v>5</v>
      </c>
      <c r="L135" s="1">
        <v>10</v>
      </c>
      <c r="M135" s="1">
        <v>3</v>
      </c>
      <c r="N135" s="1">
        <v>5</v>
      </c>
      <c r="O135" s="1">
        <v>2</v>
      </c>
      <c r="P135" s="1">
        <v>13</v>
      </c>
      <c r="Q135" s="1">
        <v>0</v>
      </c>
    </row>
    <row r="136" spans="1:17" x14ac:dyDescent="0.25">
      <c r="A136" s="1" t="s">
        <v>8</v>
      </c>
      <c r="B136" s="1">
        <v>12</v>
      </c>
      <c r="C136" s="1">
        <v>1</v>
      </c>
      <c r="D136" s="1">
        <v>4</v>
      </c>
      <c r="E136" s="1">
        <v>9</v>
      </c>
      <c r="F136" s="1">
        <v>12</v>
      </c>
      <c r="G136" s="1">
        <v>10</v>
      </c>
      <c r="H136" s="1">
        <v>9</v>
      </c>
      <c r="I136" s="1">
        <v>0</v>
      </c>
      <c r="J136" s="1">
        <v>5</v>
      </c>
      <c r="K136" s="1">
        <v>1</v>
      </c>
      <c r="L136" s="1">
        <v>2</v>
      </c>
      <c r="M136" s="1">
        <v>2</v>
      </c>
      <c r="N136" s="1">
        <v>2</v>
      </c>
      <c r="O136" s="1">
        <v>0</v>
      </c>
      <c r="P136" s="1">
        <v>10</v>
      </c>
      <c r="Q136" s="1">
        <v>0</v>
      </c>
    </row>
    <row r="137" spans="1:17" x14ac:dyDescent="0.25">
      <c r="A137" s="1" t="s">
        <v>12</v>
      </c>
      <c r="B137" s="1">
        <v>9</v>
      </c>
      <c r="C137" s="1">
        <v>1</v>
      </c>
      <c r="D137" s="1">
        <v>10</v>
      </c>
      <c r="E137" s="1">
        <v>10</v>
      </c>
      <c r="F137" s="1">
        <v>19</v>
      </c>
      <c r="G137" s="1">
        <v>12</v>
      </c>
      <c r="H137" s="1">
        <v>15</v>
      </c>
      <c r="I137" s="1">
        <v>7</v>
      </c>
      <c r="J137" s="1">
        <v>0</v>
      </c>
      <c r="K137" s="1">
        <v>8</v>
      </c>
      <c r="L137" s="1">
        <v>5</v>
      </c>
      <c r="M137" s="1">
        <v>3</v>
      </c>
      <c r="N137" s="1">
        <v>6</v>
      </c>
      <c r="O137" s="1">
        <v>3</v>
      </c>
      <c r="P137" s="1">
        <v>9</v>
      </c>
      <c r="Q137" s="1">
        <v>0</v>
      </c>
    </row>
    <row r="138" spans="1:17" x14ac:dyDescent="0.25">
      <c r="A138" s="2" t="s">
        <v>23</v>
      </c>
      <c r="B138" s="1">
        <v>9</v>
      </c>
      <c r="C138" s="1">
        <v>1</v>
      </c>
      <c r="D138" s="1">
        <v>7</v>
      </c>
      <c r="E138" s="1">
        <v>6</v>
      </c>
      <c r="F138" s="1">
        <v>10</v>
      </c>
      <c r="G138" s="1">
        <v>6</v>
      </c>
      <c r="H138" s="1">
        <v>8</v>
      </c>
      <c r="I138" s="1">
        <v>4</v>
      </c>
      <c r="J138" s="1">
        <v>10</v>
      </c>
      <c r="K138" s="1">
        <v>0</v>
      </c>
      <c r="L138" s="1">
        <v>6</v>
      </c>
      <c r="M138" s="1">
        <v>3</v>
      </c>
      <c r="N138" s="1">
        <v>1</v>
      </c>
      <c r="O138" s="1">
        <v>0</v>
      </c>
      <c r="P138" s="1">
        <v>11</v>
      </c>
      <c r="Q138" s="1">
        <v>0</v>
      </c>
    </row>
    <row r="139" spans="1:17" x14ac:dyDescent="0.25">
      <c r="A139" s="2" t="s">
        <v>11</v>
      </c>
      <c r="B139" s="1">
        <v>6</v>
      </c>
      <c r="C139" s="1">
        <v>0</v>
      </c>
      <c r="D139" s="1">
        <v>4</v>
      </c>
      <c r="E139" s="1">
        <v>3</v>
      </c>
      <c r="F139" s="1">
        <v>8</v>
      </c>
      <c r="G139" s="1">
        <v>7</v>
      </c>
      <c r="H139" s="1">
        <v>7</v>
      </c>
      <c r="I139" s="1">
        <v>2</v>
      </c>
      <c r="J139" s="1">
        <v>4</v>
      </c>
      <c r="K139" s="1">
        <v>4</v>
      </c>
      <c r="L139" s="1">
        <v>0</v>
      </c>
      <c r="M139" s="1">
        <v>2</v>
      </c>
      <c r="N139" s="1">
        <v>1</v>
      </c>
      <c r="O139" s="1">
        <v>1</v>
      </c>
      <c r="P139" s="1">
        <v>6</v>
      </c>
      <c r="Q139" s="1">
        <v>0</v>
      </c>
    </row>
    <row r="140" spans="1:17" x14ac:dyDescent="0.25">
      <c r="A140" s="1" t="s">
        <v>9</v>
      </c>
      <c r="B140" s="1">
        <v>9</v>
      </c>
      <c r="C140" s="1">
        <v>0</v>
      </c>
      <c r="D140" s="1">
        <v>6</v>
      </c>
      <c r="E140" s="1">
        <v>3</v>
      </c>
      <c r="F140" s="1">
        <v>7</v>
      </c>
      <c r="G140" s="1">
        <v>7</v>
      </c>
      <c r="H140" s="1">
        <v>8</v>
      </c>
      <c r="I140" s="1">
        <v>6</v>
      </c>
      <c r="J140" s="1">
        <v>10</v>
      </c>
      <c r="K140" s="1">
        <v>3</v>
      </c>
      <c r="L140" s="1">
        <v>5</v>
      </c>
      <c r="M140" s="1">
        <v>0</v>
      </c>
      <c r="N140" s="1">
        <v>1</v>
      </c>
      <c r="O140" s="1">
        <v>1</v>
      </c>
      <c r="P140" s="1">
        <v>12</v>
      </c>
      <c r="Q140" s="1">
        <v>0</v>
      </c>
    </row>
    <row r="141" spans="1:17" x14ac:dyDescent="0.25">
      <c r="A141" s="1" t="s">
        <v>24</v>
      </c>
      <c r="B141" s="1">
        <v>8</v>
      </c>
      <c r="C141" s="1">
        <v>0</v>
      </c>
      <c r="D141" s="1">
        <v>3</v>
      </c>
      <c r="E141" s="1">
        <v>7</v>
      </c>
      <c r="F141" s="1">
        <v>9</v>
      </c>
      <c r="G141" s="1">
        <v>7</v>
      </c>
      <c r="H141" s="1">
        <v>8</v>
      </c>
      <c r="I141" s="1">
        <v>1</v>
      </c>
      <c r="J141" s="1">
        <v>6</v>
      </c>
      <c r="K141" s="1">
        <v>1</v>
      </c>
      <c r="L141" s="1">
        <v>0</v>
      </c>
      <c r="M141" s="1">
        <v>3</v>
      </c>
      <c r="N141" s="1">
        <v>0</v>
      </c>
      <c r="O141" s="1">
        <v>0</v>
      </c>
      <c r="P141" s="1">
        <v>6</v>
      </c>
      <c r="Q141" s="1">
        <v>0</v>
      </c>
    </row>
    <row r="142" spans="1:17" x14ac:dyDescent="0.25">
      <c r="A142" s="1" t="s">
        <v>26</v>
      </c>
      <c r="B142" s="1">
        <v>1</v>
      </c>
      <c r="C142" s="1">
        <v>0</v>
      </c>
      <c r="D142" s="1">
        <v>1</v>
      </c>
      <c r="E142" s="1">
        <v>4</v>
      </c>
      <c r="F142" s="1">
        <v>4</v>
      </c>
      <c r="G142" s="1">
        <v>1</v>
      </c>
      <c r="H142" s="1">
        <v>3</v>
      </c>
      <c r="I142" s="1">
        <v>1</v>
      </c>
      <c r="J142" s="1">
        <v>2</v>
      </c>
      <c r="K142" s="1">
        <v>0</v>
      </c>
      <c r="L142" s="1">
        <v>0</v>
      </c>
      <c r="M142" s="1">
        <v>1</v>
      </c>
      <c r="N142" s="1">
        <v>0</v>
      </c>
      <c r="O142" s="1">
        <v>0</v>
      </c>
      <c r="P142" s="1">
        <v>1</v>
      </c>
      <c r="Q142" s="1">
        <v>0</v>
      </c>
    </row>
    <row r="143" spans="1:17" x14ac:dyDescent="0.25">
      <c r="A143" s="1" t="s">
        <v>7</v>
      </c>
      <c r="B143" s="1">
        <v>3</v>
      </c>
      <c r="C143" s="1">
        <v>1</v>
      </c>
      <c r="D143" s="1">
        <v>3</v>
      </c>
      <c r="E143" s="1">
        <v>3</v>
      </c>
      <c r="F143" s="1">
        <v>6</v>
      </c>
      <c r="G143" s="1">
        <v>5</v>
      </c>
      <c r="H143" s="1">
        <v>6</v>
      </c>
      <c r="I143" s="1">
        <v>4</v>
      </c>
      <c r="J143" s="1">
        <v>3</v>
      </c>
      <c r="K143" s="1">
        <v>5</v>
      </c>
      <c r="L143" s="1">
        <v>5</v>
      </c>
      <c r="M143" s="1">
        <v>1</v>
      </c>
      <c r="N143" s="1">
        <v>0</v>
      </c>
      <c r="O143" s="1">
        <v>0</v>
      </c>
      <c r="P143" s="1">
        <v>0</v>
      </c>
      <c r="Q143" s="1">
        <v>0</v>
      </c>
    </row>
    <row r="144" spans="1:17" x14ac:dyDescent="0.25">
      <c r="A144" s="1" t="s">
        <v>10</v>
      </c>
      <c r="B144" s="1">
        <v>3</v>
      </c>
      <c r="C144" s="1">
        <v>0</v>
      </c>
      <c r="D144" s="1">
        <v>0</v>
      </c>
      <c r="E144" s="1">
        <v>2</v>
      </c>
      <c r="F144" s="1">
        <v>4</v>
      </c>
      <c r="G144" s="1">
        <v>4</v>
      </c>
      <c r="H144" s="1">
        <v>4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1</v>
      </c>
      <c r="O144" s="1">
        <v>0</v>
      </c>
      <c r="P144" s="1">
        <v>2</v>
      </c>
      <c r="Q144" s="1">
        <v>0</v>
      </c>
    </row>
    <row r="147" spans="1:17" x14ac:dyDescent="0.25">
      <c r="A147" s="3" t="s">
        <v>188</v>
      </c>
    </row>
    <row r="148" spans="1:17" s="8" customFormat="1" x14ac:dyDescent="0.25">
      <c r="A148" s="1"/>
      <c r="B148" s="1" t="s">
        <v>3</v>
      </c>
      <c r="C148" s="1" t="s">
        <v>18</v>
      </c>
      <c r="D148" s="1" t="s">
        <v>16</v>
      </c>
      <c r="E148" s="1" t="s">
        <v>22</v>
      </c>
      <c r="F148" s="1" t="s">
        <v>4</v>
      </c>
      <c r="G148" s="1" t="s">
        <v>6</v>
      </c>
      <c r="H148" s="1" t="s">
        <v>5</v>
      </c>
      <c r="I148" s="1" t="s">
        <v>8</v>
      </c>
      <c r="J148" s="1" t="s">
        <v>12</v>
      </c>
      <c r="K148" s="2" t="s">
        <v>23</v>
      </c>
      <c r="L148" s="2" t="s">
        <v>11</v>
      </c>
      <c r="M148" s="1" t="s">
        <v>9</v>
      </c>
      <c r="N148" s="1" t="s">
        <v>24</v>
      </c>
      <c r="O148" s="1" t="s">
        <v>26</v>
      </c>
      <c r="P148" s="1" t="s">
        <v>7</v>
      </c>
      <c r="Q148" s="1" t="s">
        <v>10</v>
      </c>
    </row>
    <row r="149" spans="1:17" s="7" customFormat="1" x14ac:dyDescent="0.25">
      <c r="A149" s="1" t="s">
        <v>3</v>
      </c>
      <c r="B149" s="1">
        <v>0</v>
      </c>
      <c r="C149" s="1">
        <v>4</v>
      </c>
      <c r="D149" s="1">
        <v>15</v>
      </c>
      <c r="E149" s="1">
        <v>19</v>
      </c>
      <c r="F149" s="1">
        <v>23</v>
      </c>
      <c r="G149" s="1">
        <v>20</v>
      </c>
      <c r="H149" s="1">
        <v>26</v>
      </c>
      <c r="I149" s="1">
        <v>21</v>
      </c>
      <c r="J149" s="1">
        <v>16</v>
      </c>
      <c r="K149" s="1">
        <v>14</v>
      </c>
      <c r="L149" s="1">
        <v>12</v>
      </c>
      <c r="M149" s="1">
        <v>14</v>
      </c>
      <c r="N149" s="1">
        <v>14</v>
      </c>
      <c r="O149" s="1">
        <v>4</v>
      </c>
      <c r="P149" s="1">
        <v>9</v>
      </c>
      <c r="Q149" s="1">
        <v>3</v>
      </c>
    </row>
    <row r="150" spans="1:17" x14ac:dyDescent="0.25">
      <c r="A150" s="1" t="s">
        <v>18</v>
      </c>
      <c r="B150" s="1">
        <v>4</v>
      </c>
      <c r="C150" s="1">
        <v>0</v>
      </c>
      <c r="D150" s="1">
        <v>7</v>
      </c>
      <c r="E150" s="1">
        <v>2</v>
      </c>
      <c r="F150" s="1">
        <v>7</v>
      </c>
      <c r="G150" s="1">
        <v>4</v>
      </c>
      <c r="H150" s="1">
        <v>5</v>
      </c>
      <c r="I150" s="1">
        <v>3</v>
      </c>
      <c r="J150" s="1">
        <v>4</v>
      </c>
      <c r="K150" s="1">
        <v>3</v>
      </c>
      <c r="L150" s="1">
        <v>1</v>
      </c>
      <c r="M150" s="1">
        <v>0</v>
      </c>
      <c r="N150" s="1">
        <v>0</v>
      </c>
      <c r="O150" s="1">
        <v>0</v>
      </c>
      <c r="P150" s="1">
        <v>3</v>
      </c>
      <c r="Q150" s="1">
        <v>0</v>
      </c>
    </row>
    <row r="151" spans="1:17" x14ac:dyDescent="0.25">
      <c r="A151" s="1" t="s">
        <v>16</v>
      </c>
      <c r="B151" s="1">
        <v>15</v>
      </c>
      <c r="C151" s="1">
        <v>7</v>
      </c>
      <c r="D151" s="1">
        <v>0</v>
      </c>
      <c r="E151" s="1">
        <v>18</v>
      </c>
      <c r="F151" s="1">
        <v>16</v>
      </c>
      <c r="G151" s="1">
        <v>23</v>
      </c>
      <c r="H151" s="1">
        <v>16</v>
      </c>
      <c r="I151" s="1">
        <v>10</v>
      </c>
      <c r="J151" s="1">
        <v>27</v>
      </c>
      <c r="K151" s="1">
        <v>13</v>
      </c>
      <c r="L151" s="1">
        <v>10</v>
      </c>
      <c r="M151" s="1">
        <v>12</v>
      </c>
      <c r="N151" s="1">
        <v>6</v>
      </c>
      <c r="O151" s="1">
        <v>3</v>
      </c>
      <c r="P151" s="1">
        <v>11</v>
      </c>
      <c r="Q151" s="1">
        <v>0</v>
      </c>
    </row>
    <row r="152" spans="1:17" x14ac:dyDescent="0.25">
      <c r="A152" s="1" t="s">
        <v>22</v>
      </c>
      <c r="B152" s="1">
        <v>19</v>
      </c>
      <c r="C152" s="1">
        <v>2</v>
      </c>
      <c r="D152" s="1">
        <v>18</v>
      </c>
      <c r="E152" s="1">
        <v>0</v>
      </c>
      <c r="F152" s="1">
        <v>16</v>
      </c>
      <c r="G152" s="1">
        <v>15</v>
      </c>
      <c r="H152" s="1">
        <v>17</v>
      </c>
      <c r="I152" s="1">
        <v>16</v>
      </c>
      <c r="J152" s="1">
        <v>21</v>
      </c>
      <c r="K152" s="1">
        <v>14</v>
      </c>
      <c r="L152" s="1">
        <v>10</v>
      </c>
      <c r="M152" s="1">
        <v>7</v>
      </c>
      <c r="N152" s="1">
        <v>9</v>
      </c>
      <c r="O152" s="1">
        <v>5</v>
      </c>
      <c r="P152" s="1">
        <v>13</v>
      </c>
      <c r="Q152" s="1">
        <v>2</v>
      </c>
    </row>
    <row r="153" spans="1:17" x14ac:dyDescent="0.25">
      <c r="A153" s="1" t="s">
        <v>4</v>
      </c>
      <c r="B153" s="1">
        <v>23</v>
      </c>
      <c r="C153" s="1">
        <v>7</v>
      </c>
      <c r="D153" s="1">
        <v>16</v>
      </c>
      <c r="E153" s="1">
        <v>16</v>
      </c>
      <c r="F153" s="1">
        <v>0</v>
      </c>
      <c r="G153" s="1">
        <v>22</v>
      </c>
      <c r="H153" s="1">
        <v>18</v>
      </c>
      <c r="I153" s="1">
        <v>18</v>
      </c>
      <c r="J153" s="1">
        <v>33</v>
      </c>
      <c r="K153" s="1">
        <v>16</v>
      </c>
      <c r="L153" s="1">
        <v>18</v>
      </c>
      <c r="M153" s="1">
        <v>10</v>
      </c>
      <c r="N153" s="1">
        <v>11</v>
      </c>
      <c r="O153" s="1">
        <v>5</v>
      </c>
      <c r="P153" s="1">
        <v>19</v>
      </c>
      <c r="Q153" s="1">
        <v>4</v>
      </c>
    </row>
    <row r="154" spans="1:17" x14ac:dyDescent="0.25">
      <c r="A154" s="1" t="s">
        <v>6</v>
      </c>
      <c r="B154" s="1">
        <v>20</v>
      </c>
      <c r="C154" s="1">
        <v>4</v>
      </c>
      <c r="D154" s="1">
        <v>23</v>
      </c>
      <c r="E154" s="1">
        <v>15</v>
      </c>
      <c r="F154" s="1">
        <v>22</v>
      </c>
      <c r="G154" s="1">
        <v>0</v>
      </c>
      <c r="H154" s="1">
        <v>15</v>
      </c>
      <c r="I154" s="1">
        <v>14</v>
      </c>
      <c r="J154" s="1">
        <v>21</v>
      </c>
      <c r="K154" s="1">
        <v>10</v>
      </c>
      <c r="L154" s="1">
        <v>15</v>
      </c>
      <c r="M154" s="1">
        <v>10</v>
      </c>
      <c r="N154" s="1">
        <v>10</v>
      </c>
      <c r="O154" s="1">
        <v>2</v>
      </c>
      <c r="P154" s="1">
        <v>16</v>
      </c>
      <c r="Q154" s="1">
        <v>4</v>
      </c>
    </row>
    <row r="155" spans="1:17" x14ac:dyDescent="0.25">
      <c r="A155" s="1" t="s">
        <v>5</v>
      </c>
      <c r="B155" s="1">
        <v>26</v>
      </c>
      <c r="C155" s="1">
        <v>5</v>
      </c>
      <c r="D155" s="1">
        <v>16</v>
      </c>
      <c r="E155" s="1">
        <v>17</v>
      </c>
      <c r="F155" s="1">
        <v>18</v>
      </c>
      <c r="G155" s="1">
        <v>15</v>
      </c>
      <c r="H155" s="1">
        <v>0</v>
      </c>
      <c r="I155" s="1">
        <v>17</v>
      </c>
      <c r="J155" s="1">
        <v>29</v>
      </c>
      <c r="K155" s="1">
        <v>13</v>
      </c>
      <c r="L155" s="1">
        <v>17</v>
      </c>
      <c r="M155" s="1">
        <v>11</v>
      </c>
      <c r="N155" s="1">
        <v>13</v>
      </c>
      <c r="O155" s="1">
        <v>5</v>
      </c>
      <c r="P155" s="1">
        <v>19</v>
      </c>
      <c r="Q155" s="1">
        <v>4</v>
      </c>
    </row>
    <row r="156" spans="1:17" x14ac:dyDescent="0.25">
      <c r="A156" s="1" t="s">
        <v>8</v>
      </c>
      <c r="B156" s="1">
        <v>21</v>
      </c>
      <c r="C156" s="1">
        <v>3</v>
      </c>
      <c r="D156" s="1">
        <v>10</v>
      </c>
      <c r="E156" s="1">
        <v>16</v>
      </c>
      <c r="F156" s="1">
        <v>18</v>
      </c>
      <c r="G156" s="1">
        <v>14</v>
      </c>
      <c r="H156" s="1">
        <v>17</v>
      </c>
      <c r="I156" s="1">
        <v>0</v>
      </c>
      <c r="J156" s="1">
        <v>12</v>
      </c>
      <c r="K156" s="1">
        <v>5</v>
      </c>
      <c r="L156" s="1">
        <v>4</v>
      </c>
      <c r="M156" s="1">
        <v>8</v>
      </c>
      <c r="N156" s="1">
        <v>3</v>
      </c>
      <c r="O156" s="1">
        <v>1</v>
      </c>
      <c r="P156" s="1">
        <v>14</v>
      </c>
      <c r="Q156" s="1">
        <v>0</v>
      </c>
    </row>
    <row r="157" spans="1:17" x14ac:dyDescent="0.25">
      <c r="A157" s="1" t="s">
        <v>12</v>
      </c>
      <c r="B157" s="1">
        <v>16</v>
      </c>
      <c r="C157" s="1">
        <v>4</v>
      </c>
      <c r="D157" s="1">
        <v>27</v>
      </c>
      <c r="E157" s="1">
        <v>21</v>
      </c>
      <c r="F157" s="1">
        <v>33</v>
      </c>
      <c r="G157" s="1">
        <v>21</v>
      </c>
      <c r="H157" s="1">
        <v>29</v>
      </c>
      <c r="I157" s="1">
        <v>12</v>
      </c>
      <c r="J157" s="1">
        <v>0</v>
      </c>
      <c r="K157" s="1">
        <v>18</v>
      </c>
      <c r="L157" s="1">
        <v>9</v>
      </c>
      <c r="M157" s="1">
        <v>13</v>
      </c>
      <c r="N157" s="1">
        <v>12</v>
      </c>
      <c r="O157" s="1">
        <v>5</v>
      </c>
      <c r="P157" s="1">
        <v>12</v>
      </c>
      <c r="Q157" s="1">
        <v>0</v>
      </c>
    </row>
    <row r="158" spans="1:17" x14ac:dyDescent="0.25">
      <c r="A158" s="2" t="s">
        <v>23</v>
      </c>
      <c r="B158" s="1">
        <v>14</v>
      </c>
      <c r="C158" s="1">
        <v>3</v>
      </c>
      <c r="D158" s="1">
        <v>13</v>
      </c>
      <c r="E158" s="1">
        <v>14</v>
      </c>
      <c r="F158" s="1">
        <v>16</v>
      </c>
      <c r="G158" s="1">
        <v>10</v>
      </c>
      <c r="H158" s="1">
        <v>13</v>
      </c>
      <c r="I158" s="1">
        <v>5</v>
      </c>
      <c r="J158" s="1">
        <v>18</v>
      </c>
      <c r="K158" s="1">
        <v>0</v>
      </c>
      <c r="L158" s="1">
        <v>10</v>
      </c>
      <c r="M158" s="1">
        <v>6</v>
      </c>
      <c r="N158" s="1">
        <v>2</v>
      </c>
      <c r="O158" s="1">
        <v>0</v>
      </c>
      <c r="P158" s="1">
        <v>16</v>
      </c>
      <c r="Q158" s="1">
        <v>0</v>
      </c>
    </row>
    <row r="159" spans="1:17" x14ac:dyDescent="0.25">
      <c r="A159" s="2" t="s">
        <v>11</v>
      </c>
      <c r="B159" s="1">
        <v>12</v>
      </c>
      <c r="C159" s="1">
        <v>1</v>
      </c>
      <c r="D159" s="1">
        <v>10</v>
      </c>
      <c r="E159" s="1">
        <v>10</v>
      </c>
      <c r="F159" s="1">
        <v>18</v>
      </c>
      <c r="G159" s="1">
        <v>15</v>
      </c>
      <c r="H159" s="1">
        <v>17</v>
      </c>
      <c r="I159" s="1">
        <v>4</v>
      </c>
      <c r="J159" s="1">
        <v>9</v>
      </c>
      <c r="K159" s="1">
        <v>10</v>
      </c>
      <c r="L159" s="1">
        <v>0</v>
      </c>
      <c r="M159" s="1">
        <v>7</v>
      </c>
      <c r="N159" s="1">
        <v>1</v>
      </c>
      <c r="O159" s="1">
        <v>1</v>
      </c>
      <c r="P159" s="1">
        <v>11</v>
      </c>
      <c r="Q159" s="1">
        <v>0</v>
      </c>
    </row>
    <row r="160" spans="1:17" x14ac:dyDescent="0.25">
      <c r="A160" s="1" t="s">
        <v>9</v>
      </c>
      <c r="B160" s="1">
        <v>14</v>
      </c>
      <c r="C160" s="1">
        <v>0</v>
      </c>
      <c r="D160" s="1">
        <v>12</v>
      </c>
      <c r="E160" s="1">
        <v>7</v>
      </c>
      <c r="F160" s="1">
        <v>10</v>
      </c>
      <c r="G160" s="1">
        <v>10</v>
      </c>
      <c r="H160" s="1">
        <v>11</v>
      </c>
      <c r="I160" s="1">
        <v>8</v>
      </c>
      <c r="J160" s="1">
        <v>13</v>
      </c>
      <c r="K160" s="1">
        <v>6</v>
      </c>
      <c r="L160" s="1">
        <v>7</v>
      </c>
      <c r="M160" s="1">
        <v>0</v>
      </c>
      <c r="N160" s="1">
        <v>4</v>
      </c>
      <c r="O160" s="1">
        <v>2</v>
      </c>
      <c r="P160" s="1">
        <v>13</v>
      </c>
      <c r="Q160" s="1">
        <v>0</v>
      </c>
    </row>
    <row r="161" spans="1:17" x14ac:dyDescent="0.25">
      <c r="A161" s="1" t="s">
        <v>24</v>
      </c>
      <c r="B161" s="1">
        <v>14</v>
      </c>
      <c r="C161" s="1">
        <v>0</v>
      </c>
      <c r="D161" s="1">
        <v>6</v>
      </c>
      <c r="E161" s="1">
        <v>9</v>
      </c>
      <c r="F161" s="1">
        <v>11</v>
      </c>
      <c r="G161" s="1">
        <v>10</v>
      </c>
      <c r="H161" s="1">
        <v>13</v>
      </c>
      <c r="I161" s="1">
        <v>3</v>
      </c>
      <c r="J161" s="1">
        <v>12</v>
      </c>
      <c r="K161" s="1">
        <v>2</v>
      </c>
      <c r="L161" s="1">
        <v>1</v>
      </c>
      <c r="M161" s="1">
        <v>4</v>
      </c>
      <c r="N161" s="1">
        <v>0</v>
      </c>
      <c r="O161" s="1">
        <v>0</v>
      </c>
      <c r="P161" s="1">
        <v>6</v>
      </c>
      <c r="Q161" s="1">
        <v>1</v>
      </c>
    </row>
    <row r="162" spans="1:17" x14ac:dyDescent="0.25">
      <c r="A162" s="1" t="s">
        <v>26</v>
      </c>
      <c r="B162" s="1">
        <v>4</v>
      </c>
      <c r="C162" s="1">
        <v>0</v>
      </c>
      <c r="D162" s="1">
        <v>3</v>
      </c>
      <c r="E162" s="1">
        <v>5</v>
      </c>
      <c r="F162" s="1">
        <v>5</v>
      </c>
      <c r="G162" s="1">
        <v>2</v>
      </c>
      <c r="H162" s="1">
        <v>5</v>
      </c>
      <c r="I162" s="1">
        <v>1</v>
      </c>
      <c r="J162" s="1">
        <v>5</v>
      </c>
      <c r="K162" s="1">
        <v>0</v>
      </c>
      <c r="L162" s="1">
        <v>1</v>
      </c>
      <c r="M162" s="1">
        <v>2</v>
      </c>
      <c r="N162" s="1">
        <v>0</v>
      </c>
      <c r="O162" s="1">
        <v>0</v>
      </c>
      <c r="P162" s="1">
        <v>1</v>
      </c>
      <c r="Q162" s="1">
        <v>0</v>
      </c>
    </row>
    <row r="163" spans="1:17" x14ac:dyDescent="0.25">
      <c r="A163" s="1" t="s">
        <v>7</v>
      </c>
      <c r="B163" s="1">
        <v>9</v>
      </c>
      <c r="C163" s="1">
        <v>3</v>
      </c>
      <c r="D163" s="1">
        <v>11</v>
      </c>
      <c r="E163" s="1">
        <v>13</v>
      </c>
      <c r="F163" s="1">
        <v>19</v>
      </c>
      <c r="G163" s="1">
        <v>16</v>
      </c>
      <c r="H163" s="1">
        <v>19</v>
      </c>
      <c r="I163" s="1">
        <v>14</v>
      </c>
      <c r="J163" s="1">
        <v>12</v>
      </c>
      <c r="K163" s="1">
        <v>16</v>
      </c>
      <c r="L163" s="1">
        <v>11</v>
      </c>
      <c r="M163" s="1">
        <v>13</v>
      </c>
      <c r="N163" s="1">
        <v>6</v>
      </c>
      <c r="O163" s="1">
        <v>1</v>
      </c>
      <c r="P163" s="1">
        <v>0</v>
      </c>
      <c r="Q163" s="1">
        <v>2</v>
      </c>
    </row>
    <row r="164" spans="1:17" x14ac:dyDescent="0.25">
      <c r="A164" s="1" t="s">
        <v>10</v>
      </c>
      <c r="B164" s="1">
        <v>3</v>
      </c>
      <c r="C164" s="1">
        <v>0</v>
      </c>
      <c r="D164" s="1">
        <v>0</v>
      </c>
      <c r="E164" s="1">
        <v>2</v>
      </c>
      <c r="F164" s="1">
        <v>4</v>
      </c>
      <c r="G164" s="1">
        <v>4</v>
      </c>
      <c r="H164" s="1">
        <v>4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1</v>
      </c>
      <c r="O164" s="1">
        <v>0</v>
      </c>
      <c r="P164" s="1">
        <v>2</v>
      </c>
      <c r="Q164" s="1">
        <v>0</v>
      </c>
    </row>
    <row r="167" spans="1:17" x14ac:dyDescent="0.25">
      <c r="A167" s="3" t="s">
        <v>189</v>
      </c>
    </row>
    <row r="168" spans="1:17" x14ac:dyDescent="0.25">
      <c r="B168" s="1" t="s">
        <v>3</v>
      </c>
      <c r="C168" s="1" t="s">
        <v>18</v>
      </c>
      <c r="D168" s="1" t="s">
        <v>16</v>
      </c>
      <c r="E168" s="1" t="s">
        <v>22</v>
      </c>
      <c r="F168" s="1" t="s">
        <v>4</v>
      </c>
      <c r="G168" s="1" t="s">
        <v>6</v>
      </c>
      <c r="H168" s="1" t="s">
        <v>5</v>
      </c>
      <c r="I168" s="1" t="s">
        <v>8</v>
      </c>
      <c r="J168" s="1" t="s">
        <v>12</v>
      </c>
      <c r="K168" s="2" t="s">
        <v>23</v>
      </c>
      <c r="L168" s="2" t="s">
        <v>11</v>
      </c>
      <c r="M168" s="1" t="s">
        <v>9</v>
      </c>
      <c r="N168" s="1" t="s">
        <v>24</v>
      </c>
      <c r="O168" s="1" t="s">
        <v>26</v>
      </c>
      <c r="P168" s="1" t="s">
        <v>7</v>
      </c>
      <c r="Q168" s="1" t="s">
        <v>10</v>
      </c>
    </row>
    <row r="169" spans="1:17" x14ac:dyDescent="0.25">
      <c r="A169" s="1" t="s">
        <v>3</v>
      </c>
      <c r="B169" s="7" t="str">
        <f>IF(B149=0,"",B129/B149)</f>
        <v/>
      </c>
      <c r="C169" s="7">
        <f t="shared" ref="C169:Q169" si="4">IF(C149=0,"",C129/C149)</f>
        <v>0</v>
      </c>
      <c r="D169" s="7">
        <f t="shared" si="4"/>
        <v>0.46666666666666667</v>
      </c>
      <c r="E169" s="7">
        <f t="shared" si="4"/>
        <v>0.42105263157894735</v>
      </c>
      <c r="F169" s="7">
        <f t="shared" si="4"/>
        <v>0.52173913043478259</v>
      </c>
      <c r="G169" s="7">
        <f t="shared" si="4"/>
        <v>0.55000000000000004</v>
      </c>
      <c r="H169" s="7">
        <f t="shared" si="4"/>
        <v>0.42307692307692307</v>
      </c>
      <c r="I169" s="7">
        <f t="shared" si="4"/>
        <v>0.42857142857142855</v>
      </c>
      <c r="J169" s="7">
        <f t="shared" si="4"/>
        <v>0.4375</v>
      </c>
      <c r="K169" s="7">
        <f t="shared" si="4"/>
        <v>0.35714285714285715</v>
      </c>
      <c r="L169" s="7">
        <f t="shared" si="4"/>
        <v>0.5</v>
      </c>
      <c r="M169" s="7">
        <f t="shared" si="4"/>
        <v>0.35714285714285715</v>
      </c>
      <c r="N169" s="7">
        <f t="shared" si="4"/>
        <v>0.42857142857142855</v>
      </c>
      <c r="O169" s="7">
        <f t="shared" si="4"/>
        <v>0.75</v>
      </c>
      <c r="P169" s="7">
        <f t="shared" si="4"/>
        <v>0.66666666666666663</v>
      </c>
      <c r="Q169" s="7">
        <f t="shared" si="4"/>
        <v>0</v>
      </c>
    </row>
    <row r="170" spans="1:17" x14ac:dyDescent="0.25">
      <c r="A170" s="1" t="s">
        <v>18</v>
      </c>
      <c r="B170" s="7">
        <f t="shared" ref="B170:Q170" si="5">IF(B150=0,"",B130/B150)</f>
        <v>1</v>
      </c>
      <c r="C170" s="7" t="str">
        <f t="shared" si="5"/>
        <v/>
      </c>
      <c r="D170" s="7">
        <f t="shared" si="5"/>
        <v>0.7142857142857143</v>
      </c>
      <c r="E170" s="7">
        <f t="shared" si="5"/>
        <v>0</v>
      </c>
      <c r="F170" s="7">
        <f t="shared" si="5"/>
        <v>0.7142857142857143</v>
      </c>
      <c r="G170" s="7">
        <f t="shared" si="5"/>
        <v>0.5</v>
      </c>
      <c r="H170" s="7">
        <f t="shared" si="5"/>
        <v>0.6</v>
      </c>
      <c r="I170" s="7">
        <f t="shared" si="5"/>
        <v>0.66666666666666663</v>
      </c>
      <c r="J170" s="7">
        <f t="shared" si="5"/>
        <v>0.75</v>
      </c>
      <c r="K170" s="7">
        <f t="shared" si="5"/>
        <v>0.66666666666666663</v>
      </c>
      <c r="L170" s="7">
        <f t="shared" si="5"/>
        <v>1</v>
      </c>
      <c r="M170" s="7" t="str">
        <f t="shared" si="5"/>
        <v/>
      </c>
      <c r="N170" s="7" t="str">
        <f t="shared" si="5"/>
        <v/>
      </c>
      <c r="O170" s="7" t="str">
        <f t="shared" si="5"/>
        <v/>
      </c>
      <c r="P170" s="7">
        <f t="shared" si="5"/>
        <v>0.66666666666666663</v>
      </c>
      <c r="Q170" s="7" t="str">
        <f t="shared" si="5"/>
        <v/>
      </c>
    </row>
    <row r="171" spans="1:17" x14ac:dyDescent="0.25">
      <c r="A171" s="1" t="s">
        <v>16</v>
      </c>
      <c r="B171" s="7">
        <f t="shared" ref="B171:Q171" si="6">IF(B151=0,"",B131/B151)</f>
        <v>0.53333333333333333</v>
      </c>
      <c r="C171" s="7">
        <f t="shared" si="6"/>
        <v>0.2857142857142857</v>
      </c>
      <c r="D171" s="7" t="str">
        <f t="shared" si="6"/>
        <v/>
      </c>
      <c r="E171" s="7">
        <f t="shared" si="6"/>
        <v>0.55555555555555558</v>
      </c>
      <c r="F171" s="7">
        <f t="shared" si="6"/>
        <v>0.6875</v>
      </c>
      <c r="G171" s="7">
        <f t="shared" si="6"/>
        <v>0.56521739130434778</v>
      </c>
      <c r="H171" s="7">
        <f t="shared" si="6"/>
        <v>0.5625</v>
      </c>
      <c r="I171" s="7">
        <f t="shared" si="6"/>
        <v>0.6</v>
      </c>
      <c r="J171" s="7">
        <f t="shared" si="6"/>
        <v>0.62962962962962965</v>
      </c>
      <c r="K171" s="7">
        <f t="shared" si="6"/>
        <v>0.46153846153846156</v>
      </c>
      <c r="L171" s="7">
        <f t="shared" si="6"/>
        <v>0.6</v>
      </c>
      <c r="M171" s="7">
        <f t="shared" si="6"/>
        <v>0.5</v>
      </c>
      <c r="N171" s="7">
        <f t="shared" si="6"/>
        <v>0.5</v>
      </c>
      <c r="O171" s="7">
        <f t="shared" si="6"/>
        <v>0.66666666666666663</v>
      </c>
      <c r="P171" s="7">
        <f t="shared" si="6"/>
        <v>0.72727272727272729</v>
      </c>
      <c r="Q171" s="7" t="str">
        <f t="shared" si="6"/>
        <v/>
      </c>
    </row>
    <row r="172" spans="1:17" x14ac:dyDescent="0.25">
      <c r="A172" s="1" t="s">
        <v>22</v>
      </c>
      <c r="B172" s="7">
        <f t="shared" ref="B172:Q172" si="7">IF(B152=0,"",B132/B152)</f>
        <v>0.57894736842105265</v>
      </c>
      <c r="C172" s="7">
        <f t="shared" si="7"/>
        <v>1</v>
      </c>
      <c r="D172" s="7">
        <f t="shared" si="7"/>
        <v>0.44444444444444442</v>
      </c>
      <c r="E172" s="7" t="str">
        <f t="shared" si="7"/>
        <v/>
      </c>
      <c r="F172" s="7">
        <f t="shared" si="7"/>
        <v>0.75</v>
      </c>
      <c r="G172" s="7">
        <f t="shared" si="7"/>
        <v>0.6</v>
      </c>
      <c r="H172" s="7">
        <f t="shared" si="7"/>
        <v>0.58823529411764708</v>
      </c>
      <c r="I172" s="7">
        <f t="shared" si="7"/>
        <v>0.4375</v>
      </c>
      <c r="J172" s="7">
        <f t="shared" si="7"/>
        <v>0.52380952380952384</v>
      </c>
      <c r="K172" s="7">
        <f t="shared" si="7"/>
        <v>0.5714285714285714</v>
      </c>
      <c r="L172" s="7">
        <f t="shared" si="7"/>
        <v>0.7</v>
      </c>
      <c r="M172" s="7">
        <f t="shared" si="7"/>
        <v>0.5714285714285714</v>
      </c>
      <c r="N172" s="7">
        <f t="shared" si="7"/>
        <v>0.22222222222222221</v>
      </c>
      <c r="O172" s="7">
        <f t="shared" si="7"/>
        <v>0.2</v>
      </c>
      <c r="P172" s="7">
        <f t="shared" si="7"/>
        <v>0.76923076923076927</v>
      </c>
      <c r="Q172" s="7">
        <f t="shared" si="7"/>
        <v>0</v>
      </c>
    </row>
    <row r="173" spans="1:17" x14ac:dyDescent="0.25">
      <c r="A173" s="1" t="s">
        <v>4</v>
      </c>
      <c r="B173" s="7">
        <f t="shared" ref="B173:Q173" si="8">IF(B153=0,"",B133/B153)</f>
        <v>0.47826086956521741</v>
      </c>
      <c r="C173" s="7">
        <f t="shared" si="8"/>
        <v>0.2857142857142857</v>
      </c>
      <c r="D173" s="7">
        <f t="shared" si="8"/>
        <v>0.3125</v>
      </c>
      <c r="E173" s="7">
        <f t="shared" si="8"/>
        <v>0.25</v>
      </c>
      <c r="F173" s="7" t="str">
        <f t="shared" si="8"/>
        <v/>
      </c>
      <c r="G173" s="7">
        <f t="shared" si="8"/>
        <v>0.5</v>
      </c>
      <c r="H173" s="7">
        <f t="shared" si="8"/>
        <v>0.44444444444444442</v>
      </c>
      <c r="I173" s="7">
        <f t="shared" si="8"/>
        <v>0.33333333333333331</v>
      </c>
      <c r="J173" s="7">
        <f t="shared" si="8"/>
        <v>0.42424242424242425</v>
      </c>
      <c r="K173" s="7">
        <f t="shared" si="8"/>
        <v>0.375</v>
      </c>
      <c r="L173" s="7">
        <f t="shared" si="8"/>
        <v>0.55555555555555558</v>
      </c>
      <c r="M173" s="7">
        <f t="shared" si="8"/>
        <v>0.3</v>
      </c>
      <c r="N173" s="7">
        <f t="shared" si="8"/>
        <v>0.18181818181818182</v>
      </c>
      <c r="O173" s="7">
        <f t="shared" si="8"/>
        <v>0.2</v>
      </c>
      <c r="P173" s="7">
        <f t="shared" si="8"/>
        <v>0.68421052631578949</v>
      </c>
      <c r="Q173" s="7">
        <f t="shared" si="8"/>
        <v>0</v>
      </c>
    </row>
    <row r="174" spans="1:17" x14ac:dyDescent="0.25">
      <c r="A174" s="1" t="s">
        <v>6</v>
      </c>
      <c r="B174" s="7">
        <f t="shared" ref="B174:Q174" si="9">IF(B154=0,"",B134/B154)</f>
        <v>0.45</v>
      </c>
      <c r="C174" s="7">
        <f t="shared" si="9"/>
        <v>0.5</v>
      </c>
      <c r="D174" s="7">
        <f t="shared" si="9"/>
        <v>0.43478260869565216</v>
      </c>
      <c r="E174" s="7">
        <f t="shared" si="9"/>
        <v>0.4</v>
      </c>
      <c r="F174" s="7">
        <f t="shared" si="9"/>
        <v>0.5</v>
      </c>
      <c r="G174" s="7" t="str">
        <f t="shared" si="9"/>
        <v/>
      </c>
      <c r="H174" s="7">
        <f t="shared" si="9"/>
        <v>0.4</v>
      </c>
      <c r="I174" s="7">
        <f t="shared" si="9"/>
        <v>0.2857142857142857</v>
      </c>
      <c r="J174" s="7">
        <f t="shared" si="9"/>
        <v>0.42857142857142855</v>
      </c>
      <c r="K174" s="7">
        <f t="shared" si="9"/>
        <v>0.4</v>
      </c>
      <c r="L174" s="7">
        <f t="shared" si="9"/>
        <v>0.53333333333333333</v>
      </c>
      <c r="M174" s="7">
        <f t="shared" si="9"/>
        <v>0.3</v>
      </c>
      <c r="N174" s="7">
        <f t="shared" si="9"/>
        <v>0.3</v>
      </c>
      <c r="O174" s="7">
        <f t="shared" si="9"/>
        <v>0.5</v>
      </c>
      <c r="P174" s="7">
        <f t="shared" si="9"/>
        <v>0.6875</v>
      </c>
      <c r="Q174" s="7">
        <f t="shared" si="9"/>
        <v>0</v>
      </c>
    </row>
    <row r="175" spans="1:17" x14ac:dyDescent="0.25">
      <c r="A175" s="1" t="s">
        <v>5</v>
      </c>
      <c r="B175" s="7">
        <f t="shared" ref="B175:Q175" si="10">IF(B155=0,"",B135/B155)</f>
        <v>0.57692307692307687</v>
      </c>
      <c r="C175" s="7">
        <f t="shared" si="10"/>
        <v>0.4</v>
      </c>
      <c r="D175" s="7">
        <f t="shared" si="10"/>
        <v>0.4375</v>
      </c>
      <c r="E175" s="7">
        <f t="shared" si="10"/>
        <v>0.41176470588235292</v>
      </c>
      <c r="F175" s="7">
        <f t="shared" si="10"/>
        <v>0.55555555555555558</v>
      </c>
      <c r="G175" s="7">
        <f t="shared" si="10"/>
        <v>0.6</v>
      </c>
      <c r="H175" s="7" t="str">
        <f t="shared" si="10"/>
        <v/>
      </c>
      <c r="I175" s="7">
        <f t="shared" si="10"/>
        <v>0.47058823529411764</v>
      </c>
      <c r="J175" s="7">
        <f t="shared" si="10"/>
        <v>0.48275862068965519</v>
      </c>
      <c r="K175" s="7">
        <f t="shared" si="10"/>
        <v>0.38461538461538464</v>
      </c>
      <c r="L175" s="7">
        <f t="shared" si="10"/>
        <v>0.58823529411764708</v>
      </c>
      <c r="M175" s="7">
        <f t="shared" si="10"/>
        <v>0.27272727272727271</v>
      </c>
      <c r="N175" s="7">
        <f t="shared" si="10"/>
        <v>0.38461538461538464</v>
      </c>
      <c r="O175" s="7">
        <f t="shared" si="10"/>
        <v>0.4</v>
      </c>
      <c r="P175" s="7">
        <f t="shared" si="10"/>
        <v>0.68421052631578949</v>
      </c>
      <c r="Q175" s="7">
        <f t="shared" si="10"/>
        <v>0</v>
      </c>
    </row>
    <row r="176" spans="1:17" x14ac:dyDescent="0.25">
      <c r="A176" s="1" t="s">
        <v>8</v>
      </c>
      <c r="B176" s="7">
        <f t="shared" ref="B176:Q176" si="11">IF(B156=0,"",B136/B156)</f>
        <v>0.5714285714285714</v>
      </c>
      <c r="C176" s="7">
        <f t="shared" si="11"/>
        <v>0.33333333333333331</v>
      </c>
      <c r="D176" s="7">
        <f t="shared" si="11"/>
        <v>0.4</v>
      </c>
      <c r="E176" s="7">
        <f t="shared" si="11"/>
        <v>0.5625</v>
      </c>
      <c r="F176" s="7">
        <f t="shared" si="11"/>
        <v>0.66666666666666663</v>
      </c>
      <c r="G176" s="7">
        <f t="shared" si="11"/>
        <v>0.7142857142857143</v>
      </c>
      <c r="H176" s="7">
        <f t="shared" si="11"/>
        <v>0.52941176470588236</v>
      </c>
      <c r="I176" s="7" t="str">
        <f t="shared" si="11"/>
        <v/>
      </c>
      <c r="J176" s="7">
        <f t="shared" si="11"/>
        <v>0.41666666666666669</v>
      </c>
      <c r="K176" s="7">
        <f t="shared" si="11"/>
        <v>0.2</v>
      </c>
      <c r="L176" s="7">
        <f t="shared" si="11"/>
        <v>0.5</v>
      </c>
      <c r="M176" s="7">
        <f t="shared" si="11"/>
        <v>0.25</v>
      </c>
      <c r="N176" s="7">
        <f t="shared" si="11"/>
        <v>0.66666666666666663</v>
      </c>
      <c r="O176" s="7">
        <f t="shared" si="11"/>
        <v>0</v>
      </c>
      <c r="P176" s="7">
        <f t="shared" si="11"/>
        <v>0.7142857142857143</v>
      </c>
      <c r="Q176" s="7" t="str">
        <f t="shared" si="11"/>
        <v/>
      </c>
    </row>
    <row r="177" spans="1:17" x14ac:dyDescent="0.25">
      <c r="A177" s="1" t="s">
        <v>12</v>
      </c>
      <c r="B177" s="7">
        <f t="shared" ref="B177:Q177" si="12">IF(B157=0,"",B137/B157)</f>
        <v>0.5625</v>
      </c>
      <c r="C177" s="7">
        <f t="shared" si="12"/>
        <v>0.25</v>
      </c>
      <c r="D177" s="7">
        <f t="shared" si="12"/>
        <v>0.37037037037037035</v>
      </c>
      <c r="E177" s="7">
        <f t="shared" si="12"/>
        <v>0.47619047619047616</v>
      </c>
      <c r="F177" s="7">
        <f t="shared" si="12"/>
        <v>0.5757575757575758</v>
      </c>
      <c r="G177" s="7">
        <f t="shared" si="12"/>
        <v>0.5714285714285714</v>
      </c>
      <c r="H177" s="7">
        <f t="shared" si="12"/>
        <v>0.51724137931034486</v>
      </c>
      <c r="I177" s="7">
        <f t="shared" si="12"/>
        <v>0.58333333333333337</v>
      </c>
      <c r="J177" s="7" t="str">
        <f t="shared" si="12"/>
        <v/>
      </c>
      <c r="K177" s="7">
        <f t="shared" si="12"/>
        <v>0.44444444444444442</v>
      </c>
      <c r="L177" s="7">
        <f t="shared" si="12"/>
        <v>0.55555555555555558</v>
      </c>
      <c r="M177" s="7">
        <f t="shared" si="12"/>
        <v>0.23076923076923078</v>
      </c>
      <c r="N177" s="7">
        <f t="shared" si="12"/>
        <v>0.5</v>
      </c>
      <c r="O177" s="7">
        <f t="shared" si="12"/>
        <v>0.6</v>
      </c>
      <c r="P177" s="7">
        <f t="shared" si="12"/>
        <v>0.75</v>
      </c>
      <c r="Q177" s="7" t="str">
        <f t="shared" si="12"/>
        <v/>
      </c>
    </row>
    <row r="178" spans="1:17" x14ac:dyDescent="0.25">
      <c r="A178" s="2" t="s">
        <v>23</v>
      </c>
      <c r="B178" s="7">
        <f t="shared" ref="B178:Q178" si="13">IF(B158=0,"",B138/B158)</f>
        <v>0.6428571428571429</v>
      </c>
      <c r="C178" s="7">
        <f t="shared" si="13"/>
        <v>0.33333333333333331</v>
      </c>
      <c r="D178" s="7">
        <f t="shared" si="13"/>
        <v>0.53846153846153844</v>
      </c>
      <c r="E178" s="7">
        <f t="shared" si="13"/>
        <v>0.42857142857142855</v>
      </c>
      <c r="F178" s="7">
        <f t="shared" si="13"/>
        <v>0.625</v>
      </c>
      <c r="G178" s="7">
        <f t="shared" si="13"/>
        <v>0.6</v>
      </c>
      <c r="H178" s="7">
        <f t="shared" si="13"/>
        <v>0.61538461538461542</v>
      </c>
      <c r="I178" s="7">
        <f t="shared" si="13"/>
        <v>0.8</v>
      </c>
      <c r="J178" s="7">
        <f t="shared" si="13"/>
        <v>0.55555555555555558</v>
      </c>
      <c r="K178" s="7" t="str">
        <f t="shared" si="13"/>
        <v/>
      </c>
      <c r="L178" s="7">
        <f t="shared" si="13"/>
        <v>0.6</v>
      </c>
      <c r="M178" s="7">
        <f t="shared" si="13"/>
        <v>0.5</v>
      </c>
      <c r="N178" s="7">
        <f t="shared" si="13"/>
        <v>0.5</v>
      </c>
      <c r="O178" s="7" t="str">
        <f t="shared" si="13"/>
        <v/>
      </c>
      <c r="P178" s="7">
        <f t="shared" si="13"/>
        <v>0.6875</v>
      </c>
      <c r="Q178" s="7" t="str">
        <f t="shared" si="13"/>
        <v/>
      </c>
    </row>
    <row r="179" spans="1:17" x14ac:dyDescent="0.25">
      <c r="A179" s="2" t="s">
        <v>11</v>
      </c>
      <c r="B179" s="7">
        <f t="shared" ref="B179:Q179" si="14">IF(B159=0,"",B139/B159)</f>
        <v>0.5</v>
      </c>
      <c r="C179" s="7">
        <f t="shared" si="14"/>
        <v>0</v>
      </c>
      <c r="D179" s="7">
        <f t="shared" si="14"/>
        <v>0.4</v>
      </c>
      <c r="E179" s="7">
        <f t="shared" si="14"/>
        <v>0.3</v>
      </c>
      <c r="F179" s="7">
        <f t="shared" si="14"/>
        <v>0.44444444444444442</v>
      </c>
      <c r="G179" s="7">
        <f t="shared" si="14"/>
        <v>0.46666666666666667</v>
      </c>
      <c r="H179" s="7">
        <f t="shared" si="14"/>
        <v>0.41176470588235292</v>
      </c>
      <c r="I179" s="7">
        <f t="shared" si="14"/>
        <v>0.5</v>
      </c>
      <c r="J179" s="7">
        <f t="shared" si="14"/>
        <v>0.44444444444444442</v>
      </c>
      <c r="K179" s="7">
        <f t="shared" si="14"/>
        <v>0.4</v>
      </c>
      <c r="L179" s="7" t="str">
        <f t="shared" si="14"/>
        <v/>
      </c>
      <c r="M179" s="7">
        <f t="shared" si="14"/>
        <v>0.2857142857142857</v>
      </c>
      <c r="N179" s="7">
        <f t="shared" si="14"/>
        <v>1</v>
      </c>
      <c r="O179" s="7">
        <f t="shared" si="14"/>
        <v>1</v>
      </c>
      <c r="P179" s="7">
        <f t="shared" si="14"/>
        <v>0.54545454545454541</v>
      </c>
      <c r="Q179" s="7" t="str">
        <f t="shared" si="14"/>
        <v/>
      </c>
    </row>
    <row r="180" spans="1:17" x14ac:dyDescent="0.25">
      <c r="A180" s="1" t="s">
        <v>9</v>
      </c>
      <c r="B180" s="7">
        <f t="shared" ref="B180:Q180" si="15">IF(B160=0,"",B140/B160)</f>
        <v>0.6428571428571429</v>
      </c>
      <c r="C180" s="7" t="str">
        <f t="shared" si="15"/>
        <v/>
      </c>
      <c r="D180" s="7">
        <f t="shared" si="15"/>
        <v>0.5</v>
      </c>
      <c r="E180" s="7">
        <f t="shared" si="15"/>
        <v>0.42857142857142855</v>
      </c>
      <c r="F180" s="7">
        <f t="shared" si="15"/>
        <v>0.7</v>
      </c>
      <c r="G180" s="7">
        <f t="shared" si="15"/>
        <v>0.7</v>
      </c>
      <c r="H180" s="7">
        <f t="shared" si="15"/>
        <v>0.72727272727272729</v>
      </c>
      <c r="I180" s="7">
        <f t="shared" si="15"/>
        <v>0.75</v>
      </c>
      <c r="J180" s="7">
        <f t="shared" si="15"/>
        <v>0.76923076923076927</v>
      </c>
      <c r="K180" s="7">
        <f t="shared" si="15"/>
        <v>0.5</v>
      </c>
      <c r="L180" s="7">
        <f t="shared" si="15"/>
        <v>0.7142857142857143</v>
      </c>
      <c r="M180" s="7" t="str">
        <f t="shared" si="15"/>
        <v/>
      </c>
      <c r="N180" s="7">
        <f t="shared" si="15"/>
        <v>0.25</v>
      </c>
      <c r="O180" s="7">
        <f t="shared" si="15"/>
        <v>0.5</v>
      </c>
      <c r="P180" s="7">
        <f t="shared" si="15"/>
        <v>0.92307692307692313</v>
      </c>
      <c r="Q180" s="7" t="str">
        <f t="shared" si="15"/>
        <v/>
      </c>
    </row>
    <row r="181" spans="1:17" x14ac:dyDescent="0.25">
      <c r="A181" s="1" t="s">
        <v>24</v>
      </c>
      <c r="B181" s="7">
        <f t="shared" ref="B181:Q181" si="16">IF(B161=0,"",B141/B161)</f>
        <v>0.5714285714285714</v>
      </c>
      <c r="C181" s="7" t="str">
        <f t="shared" si="16"/>
        <v/>
      </c>
      <c r="D181" s="7">
        <f t="shared" si="16"/>
        <v>0.5</v>
      </c>
      <c r="E181" s="7">
        <f t="shared" si="16"/>
        <v>0.77777777777777779</v>
      </c>
      <c r="F181" s="7">
        <f t="shared" si="16"/>
        <v>0.81818181818181823</v>
      </c>
      <c r="G181" s="7">
        <f t="shared" si="16"/>
        <v>0.7</v>
      </c>
      <c r="H181" s="7">
        <f t="shared" si="16"/>
        <v>0.61538461538461542</v>
      </c>
      <c r="I181" s="7">
        <f t="shared" si="16"/>
        <v>0.33333333333333331</v>
      </c>
      <c r="J181" s="7">
        <f t="shared" si="16"/>
        <v>0.5</v>
      </c>
      <c r="K181" s="7">
        <f t="shared" si="16"/>
        <v>0.5</v>
      </c>
      <c r="L181" s="7">
        <f t="shared" si="16"/>
        <v>0</v>
      </c>
      <c r="M181" s="7">
        <f t="shared" si="16"/>
        <v>0.75</v>
      </c>
      <c r="N181" s="7" t="str">
        <f t="shared" si="16"/>
        <v/>
      </c>
      <c r="O181" s="7" t="str">
        <f t="shared" si="16"/>
        <v/>
      </c>
      <c r="P181" s="7">
        <f t="shared" si="16"/>
        <v>1</v>
      </c>
      <c r="Q181" s="7">
        <f t="shared" si="16"/>
        <v>0</v>
      </c>
    </row>
    <row r="182" spans="1:17" x14ac:dyDescent="0.25">
      <c r="A182" s="1" t="s">
        <v>26</v>
      </c>
      <c r="B182" s="7">
        <f t="shared" ref="B182:Q182" si="17">IF(B162=0,"",B142/B162)</f>
        <v>0.25</v>
      </c>
      <c r="C182" s="7" t="str">
        <f t="shared" si="17"/>
        <v/>
      </c>
      <c r="D182" s="7">
        <f t="shared" si="17"/>
        <v>0.33333333333333331</v>
      </c>
      <c r="E182" s="7">
        <f t="shared" si="17"/>
        <v>0.8</v>
      </c>
      <c r="F182" s="7">
        <f t="shared" si="17"/>
        <v>0.8</v>
      </c>
      <c r="G182" s="7">
        <f t="shared" si="17"/>
        <v>0.5</v>
      </c>
      <c r="H182" s="7">
        <f t="shared" si="17"/>
        <v>0.6</v>
      </c>
      <c r="I182" s="7">
        <f t="shared" si="17"/>
        <v>1</v>
      </c>
      <c r="J182" s="7">
        <f t="shared" si="17"/>
        <v>0.4</v>
      </c>
      <c r="K182" s="7" t="str">
        <f t="shared" si="17"/>
        <v/>
      </c>
      <c r="L182" s="7">
        <f t="shared" si="17"/>
        <v>0</v>
      </c>
      <c r="M182" s="7">
        <f t="shared" si="17"/>
        <v>0.5</v>
      </c>
      <c r="N182" s="7" t="str">
        <f t="shared" si="17"/>
        <v/>
      </c>
      <c r="O182" s="7" t="str">
        <f t="shared" si="17"/>
        <v/>
      </c>
      <c r="P182" s="7">
        <f t="shared" si="17"/>
        <v>1</v>
      </c>
      <c r="Q182" s="7" t="str">
        <f t="shared" si="17"/>
        <v/>
      </c>
    </row>
    <row r="183" spans="1:17" x14ac:dyDescent="0.25">
      <c r="A183" s="1" t="s">
        <v>7</v>
      </c>
      <c r="B183" s="7">
        <f t="shared" ref="B183:Q183" si="18">IF(B163=0,"",B143/B163)</f>
        <v>0.33333333333333331</v>
      </c>
      <c r="C183" s="7">
        <f t="shared" si="18"/>
        <v>0.33333333333333331</v>
      </c>
      <c r="D183" s="7">
        <f t="shared" si="18"/>
        <v>0.27272727272727271</v>
      </c>
      <c r="E183" s="7">
        <f t="shared" si="18"/>
        <v>0.23076923076923078</v>
      </c>
      <c r="F183" s="7">
        <f t="shared" si="18"/>
        <v>0.31578947368421051</v>
      </c>
      <c r="G183" s="7">
        <f t="shared" si="18"/>
        <v>0.3125</v>
      </c>
      <c r="H183" s="7">
        <f t="shared" si="18"/>
        <v>0.31578947368421051</v>
      </c>
      <c r="I183" s="7">
        <f t="shared" si="18"/>
        <v>0.2857142857142857</v>
      </c>
      <c r="J183" s="7">
        <f t="shared" si="18"/>
        <v>0.25</v>
      </c>
      <c r="K183" s="7">
        <f t="shared" si="18"/>
        <v>0.3125</v>
      </c>
      <c r="L183" s="7">
        <f t="shared" si="18"/>
        <v>0.45454545454545453</v>
      </c>
      <c r="M183" s="7">
        <f t="shared" si="18"/>
        <v>7.6923076923076927E-2</v>
      </c>
      <c r="N183" s="7">
        <f t="shared" si="18"/>
        <v>0</v>
      </c>
      <c r="O183" s="7">
        <f t="shared" si="18"/>
        <v>0</v>
      </c>
      <c r="P183" s="7" t="str">
        <f t="shared" si="18"/>
        <v/>
      </c>
      <c r="Q183" s="7">
        <f t="shared" si="18"/>
        <v>0</v>
      </c>
    </row>
    <row r="184" spans="1:17" x14ac:dyDescent="0.25">
      <c r="A184" s="1" t="s">
        <v>10</v>
      </c>
      <c r="B184" s="7">
        <f t="shared" ref="B184:Q184" si="19">IF(B164=0,"",B144/B164)</f>
        <v>1</v>
      </c>
      <c r="C184" s="7" t="str">
        <f t="shared" si="19"/>
        <v/>
      </c>
      <c r="D184" s="7" t="str">
        <f t="shared" si="19"/>
        <v/>
      </c>
      <c r="E184" s="7">
        <f t="shared" si="19"/>
        <v>1</v>
      </c>
      <c r="F184" s="7">
        <f t="shared" si="19"/>
        <v>1</v>
      </c>
      <c r="G184" s="7">
        <f t="shared" si="19"/>
        <v>1</v>
      </c>
      <c r="H184" s="7">
        <f t="shared" si="19"/>
        <v>1</v>
      </c>
      <c r="I184" s="7" t="str">
        <f t="shared" si="19"/>
        <v/>
      </c>
      <c r="J184" s="7" t="str">
        <f t="shared" si="19"/>
        <v/>
      </c>
      <c r="K184" s="7" t="str">
        <f t="shared" si="19"/>
        <v/>
      </c>
      <c r="L184" s="7" t="str">
        <f t="shared" si="19"/>
        <v/>
      </c>
      <c r="M184" s="7" t="str">
        <f t="shared" si="19"/>
        <v/>
      </c>
      <c r="N184" s="7">
        <f t="shared" si="19"/>
        <v>1</v>
      </c>
      <c r="O184" s="7" t="str">
        <f t="shared" si="19"/>
        <v/>
      </c>
      <c r="P184" s="7">
        <f t="shared" si="19"/>
        <v>1</v>
      </c>
      <c r="Q184" s="7" t="str">
        <f t="shared" si="19"/>
        <v/>
      </c>
    </row>
    <row r="187" spans="1:17" x14ac:dyDescent="0.25">
      <c r="A187" s="3" t="s">
        <v>191</v>
      </c>
      <c r="D187" s="1" t="s">
        <v>41</v>
      </c>
      <c r="E187" s="9">
        <f ca="1">TODAY()</f>
        <v>44923</v>
      </c>
    </row>
    <row r="188" spans="1:17" x14ac:dyDescent="0.25">
      <c r="A188" s="10"/>
      <c r="B188" s="10">
        <v>44837</v>
      </c>
      <c r="C188" s="10">
        <v>44844</v>
      </c>
      <c r="D188" s="10">
        <v>44851</v>
      </c>
      <c r="E188" s="10">
        <v>44858</v>
      </c>
      <c r="F188" s="10">
        <v>44865</v>
      </c>
      <c r="G188" s="10">
        <v>44872</v>
      </c>
      <c r="H188" s="10">
        <v>44879</v>
      </c>
      <c r="I188" s="10">
        <v>44886</v>
      </c>
      <c r="J188" s="10">
        <v>44893</v>
      </c>
      <c r="K188" s="10">
        <v>44900</v>
      </c>
      <c r="L188" s="10">
        <v>44907</v>
      </c>
      <c r="M188" s="10">
        <v>44914</v>
      </c>
      <c r="N188" s="10">
        <v>44921</v>
      </c>
    </row>
    <row r="189" spans="1:17" x14ac:dyDescent="0.25">
      <c r="A189" s="1" t="s">
        <v>3</v>
      </c>
      <c r="B189" s="1">
        <v>0</v>
      </c>
      <c r="C189" s="1">
        <v>0</v>
      </c>
      <c r="D189" s="1">
        <v>3</v>
      </c>
      <c r="E189" s="1">
        <v>3</v>
      </c>
      <c r="F189" s="1">
        <v>3</v>
      </c>
      <c r="G189" s="1">
        <v>5</v>
      </c>
      <c r="H189" s="1">
        <v>10</v>
      </c>
      <c r="I189" s="1">
        <v>13</v>
      </c>
      <c r="J189" s="1">
        <v>16</v>
      </c>
      <c r="K189" s="1">
        <v>22</v>
      </c>
      <c r="L189" s="1">
        <v>23</v>
      </c>
      <c r="M189" s="1">
        <v>25</v>
      </c>
      <c r="N189" s="1">
        <v>25</v>
      </c>
    </row>
    <row r="190" spans="1:17" x14ac:dyDescent="0.25">
      <c r="A190" s="1" t="s">
        <v>18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1</v>
      </c>
      <c r="K190" s="1">
        <v>2</v>
      </c>
      <c r="L190" s="1">
        <v>3</v>
      </c>
      <c r="M190" s="1">
        <v>3</v>
      </c>
      <c r="N190" s="1">
        <v>3</v>
      </c>
    </row>
    <row r="191" spans="1:17" x14ac:dyDescent="0.25">
      <c r="A191" s="1" t="s">
        <v>16</v>
      </c>
      <c r="B191" s="1">
        <v>0</v>
      </c>
      <c r="C191" s="1">
        <v>0</v>
      </c>
      <c r="D191" s="1">
        <v>2</v>
      </c>
      <c r="E191" s="1">
        <v>2</v>
      </c>
      <c r="F191" s="1">
        <v>3</v>
      </c>
      <c r="G191" s="1">
        <v>4</v>
      </c>
      <c r="H191" s="1">
        <v>6</v>
      </c>
      <c r="I191" s="1">
        <v>8</v>
      </c>
      <c r="J191" s="1">
        <v>10</v>
      </c>
      <c r="K191" s="1">
        <v>13</v>
      </c>
      <c r="L191" s="1">
        <v>14</v>
      </c>
      <c r="M191" s="1">
        <v>17</v>
      </c>
      <c r="N191" s="1">
        <v>17</v>
      </c>
    </row>
    <row r="192" spans="1:17" x14ac:dyDescent="0.25">
      <c r="A192" s="1" t="s">
        <v>22</v>
      </c>
      <c r="B192" s="1">
        <v>0</v>
      </c>
      <c r="C192" s="1">
        <v>1</v>
      </c>
      <c r="D192" s="1">
        <v>6</v>
      </c>
      <c r="E192" s="1">
        <v>6</v>
      </c>
      <c r="F192" s="1">
        <v>6</v>
      </c>
      <c r="G192" s="1">
        <v>10</v>
      </c>
      <c r="H192" s="1">
        <v>14</v>
      </c>
      <c r="I192" s="1">
        <v>14</v>
      </c>
      <c r="J192" s="1">
        <v>16</v>
      </c>
      <c r="K192" s="1">
        <v>16</v>
      </c>
      <c r="L192" s="1">
        <v>17</v>
      </c>
      <c r="M192" s="1">
        <v>18</v>
      </c>
      <c r="N192" s="1">
        <v>18</v>
      </c>
    </row>
    <row r="193" spans="1:14" x14ac:dyDescent="0.25">
      <c r="A193" s="1" t="s">
        <v>4</v>
      </c>
      <c r="B193" s="1">
        <v>0</v>
      </c>
      <c r="C193" s="1">
        <v>1</v>
      </c>
      <c r="D193" s="1">
        <v>7</v>
      </c>
      <c r="E193" s="1">
        <v>7</v>
      </c>
      <c r="F193" s="1">
        <v>8</v>
      </c>
      <c r="G193" s="1">
        <v>11</v>
      </c>
      <c r="H193" s="1">
        <v>17</v>
      </c>
      <c r="I193" s="1">
        <v>17</v>
      </c>
      <c r="J193" s="1">
        <v>21</v>
      </c>
      <c r="K193" s="1">
        <v>24</v>
      </c>
      <c r="L193" s="1">
        <v>27</v>
      </c>
      <c r="M193" s="1">
        <v>29</v>
      </c>
      <c r="N193" s="1">
        <v>29</v>
      </c>
    </row>
    <row r="194" spans="1:14" x14ac:dyDescent="0.25">
      <c r="A194" s="1" t="s">
        <v>6</v>
      </c>
      <c r="B194" s="1">
        <v>0</v>
      </c>
      <c r="C194" s="1">
        <v>0</v>
      </c>
      <c r="D194" s="1">
        <v>4</v>
      </c>
      <c r="E194" s="1">
        <v>4</v>
      </c>
      <c r="F194" s="1">
        <v>4</v>
      </c>
      <c r="G194" s="1">
        <v>5</v>
      </c>
      <c r="H194" s="1">
        <v>10</v>
      </c>
      <c r="I194" s="1">
        <v>11</v>
      </c>
      <c r="J194" s="1">
        <v>16</v>
      </c>
      <c r="K194" s="1">
        <v>20</v>
      </c>
      <c r="L194" s="1">
        <v>22</v>
      </c>
      <c r="M194" s="1">
        <v>24</v>
      </c>
      <c r="N194" s="1">
        <v>24</v>
      </c>
    </row>
    <row r="195" spans="1:14" x14ac:dyDescent="0.25">
      <c r="A195" s="1" t="s">
        <v>5</v>
      </c>
      <c r="B195" s="1">
        <v>0</v>
      </c>
      <c r="C195" s="1">
        <v>1</v>
      </c>
      <c r="D195" s="1">
        <v>3</v>
      </c>
      <c r="E195" s="1">
        <v>3</v>
      </c>
      <c r="F195" s="1">
        <v>4</v>
      </c>
      <c r="G195" s="1">
        <v>6</v>
      </c>
      <c r="H195" s="1">
        <v>12</v>
      </c>
      <c r="I195" s="1">
        <v>13</v>
      </c>
      <c r="J195" s="1">
        <v>17</v>
      </c>
      <c r="K195" s="1">
        <v>21</v>
      </c>
      <c r="L195" s="1">
        <v>23</v>
      </c>
      <c r="M195" s="1">
        <v>24</v>
      </c>
      <c r="N195" s="1">
        <v>24</v>
      </c>
    </row>
    <row r="196" spans="1:14" x14ac:dyDescent="0.25">
      <c r="A196" s="1" t="s">
        <v>8</v>
      </c>
      <c r="B196" s="1">
        <v>0</v>
      </c>
      <c r="C196" s="1">
        <v>0</v>
      </c>
      <c r="D196" s="1">
        <v>2</v>
      </c>
      <c r="E196" s="1">
        <v>2</v>
      </c>
      <c r="F196" s="1">
        <v>2</v>
      </c>
      <c r="G196" s="1">
        <v>5</v>
      </c>
      <c r="H196" s="1">
        <v>7</v>
      </c>
      <c r="I196" s="1">
        <v>8</v>
      </c>
      <c r="J196" s="1">
        <v>8</v>
      </c>
      <c r="K196" s="1">
        <v>11</v>
      </c>
      <c r="L196" s="1">
        <v>14</v>
      </c>
      <c r="M196" s="1">
        <v>14</v>
      </c>
      <c r="N196" s="1">
        <v>14</v>
      </c>
    </row>
    <row r="197" spans="1:14" x14ac:dyDescent="0.25">
      <c r="A197" s="1" t="s">
        <v>12</v>
      </c>
      <c r="B197" s="1">
        <v>0</v>
      </c>
      <c r="C197" s="1">
        <v>2</v>
      </c>
      <c r="D197" s="1">
        <v>6</v>
      </c>
      <c r="E197" s="1">
        <v>6</v>
      </c>
      <c r="F197" s="1">
        <v>6</v>
      </c>
      <c r="G197" s="1">
        <v>8</v>
      </c>
      <c r="H197" s="1">
        <v>14</v>
      </c>
      <c r="I197" s="1">
        <v>16</v>
      </c>
      <c r="J197" s="1">
        <v>18</v>
      </c>
      <c r="K197" s="1">
        <v>21</v>
      </c>
      <c r="L197" s="1">
        <v>23</v>
      </c>
      <c r="M197" s="1">
        <v>24</v>
      </c>
      <c r="N197" s="1">
        <v>24</v>
      </c>
    </row>
    <row r="198" spans="1:14" x14ac:dyDescent="0.25">
      <c r="A198" s="2" t="s">
        <v>23</v>
      </c>
      <c r="B198" s="1">
        <v>0</v>
      </c>
      <c r="C198" s="1">
        <v>1</v>
      </c>
      <c r="D198" s="1">
        <v>1</v>
      </c>
      <c r="E198" s="1">
        <v>1</v>
      </c>
      <c r="F198" s="1">
        <v>1</v>
      </c>
      <c r="G198" s="1">
        <v>2</v>
      </c>
      <c r="H198" s="1">
        <v>4</v>
      </c>
      <c r="I198" s="1">
        <v>6</v>
      </c>
      <c r="J198" s="1">
        <v>8</v>
      </c>
      <c r="K198" s="1">
        <v>9</v>
      </c>
      <c r="L198" s="1">
        <v>10</v>
      </c>
      <c r="M198" s="1">
        <v>12</v>
      </c>
      <c r="N198" s="1">
        <v>12</v>
      </c>
    </row>
    <row r="199" spans="1:14" x14ac:dyDescent="0.25">
      <c r="A199" s="2" t="s">
        <v>11</v>
      </c>
      <c r="B199" s="1">
        <v>0</v>
      </c>
      <c r="C199" s="1">
        <v>1</v>
      </c>
      <c r="D199" s="1">
        <v>2</v>
      </c>
      <c r="E199" s="1">
        <v>2</v>
      </c>
      <c r="F199" s="1">
        <v>2</v>
      </c>
      <c r="G199" s="1">
        <v>3</v>
      </c>
      <c r="H199" s="1">
        <v>4</v>
      </c>
      <c r="I199" s="1">
        <v>6</v>
      </c>
      <c r="J199" s="1">
        <v>8</v>
      </c>
      <c r="K199" s="1">
        <v>10</v>
      </c>
      <c r="L199" s="1">
        <v>12</v>
      </c>
      <c r="M199" s="1">
        <v>15</v>
      </c>
      <c r="N199" s="1">
        <v>15</v>
      </c>
    </row>
    <row r="200" spans="1:14" x14ac:dyDescent="0.25">
      <c r="A200" s="1" t="s">
        <v>9</v>
      </c>
      <c r="B200" s="1">
        <v>0</v>
      </c>
      <c r="C200" s="1">
        <v>1</v>
      </c>
      <c r="D200" s="1">
        <v>3</v>
      </c>
      <c r="E200" s="1">
        <v>3</v>
      </c>
      <c r="F200" s="1">
        <v>4</v>
      </c>
      <c r="G200" s="1">
        <v>4</v>
      </c>
      <c r="H200" s="1">
        <v>6</v>
      </c>
      <c r="I200" s="1">
        <v>6</v>
      </c>
      <c r="J200" s="1">
        <v>7</v>
      </c>
      <c r="K200" s="1">
        <v>8</v>
      </c>
      <c r="L200" s="1">
        <v>8</v>
      </c>
      <c r="M200" s="1">
        <v>8</v>
      </c>
      <c r="N200" s="1">
        <v>8</v>
      </c>
    </row>
    <row r="201" spans="1:14" x14ac:dyDescent="0.25">
      <c r="A201" s="1" t="s">
        <v>24</v>
      </c>
      <c r="B201" s="1">
        <v>0</v>
      </c>
      <c r="C201" s="1">
        <v>0</v>
      </c>
      <c r="D201" s="1">
        <v>2</v>
      </c>
      <c r="E201" s="1">
        <v>2</v>
      </c>
      <c r="F201" s="1">
        <v>2</v>
      </c>
      <c r="G201" s="1">
        <v>5</v>
      </c>
      <c r="H201" s="1">
        <v>5</v>
      </c>
      <c r="I201" s="1">
        <v>6</v>
      </c>
      <c r="J201" s="1">
        <v>7</v>
      </c>
      <c r="K201" s="1">
        <v>7</v>
      </c>
      <c r="L201" s="1">
        <v>7</v>
      </c>
      <c r="M201" s="1">
        <v>7</v>
      </c>
      <c r="N201" s="1">
        <v>7</v>
      </c>
    </row>
    <row r="202" spans="1:14" x14ac:dyDescent="0.25">
      <c r="A202" s="1" t="s">
        <v>26</v>
      </c>
      <c r="B202" s="1">
        <v>0</v>
      </c>
      <c r="C202" s="1">
        <v>0</v>
      </c>
      <c r="D202" s="1">
        <v>1</v>
      </c>
      <c r="E202" s="1">
        <v>1</v>
      </c>
      <c r="F202" s="1">
        <v>1</v>
      </c>
      <c r="G202" s="1">
        <v>2</v>
      </c>
      <c r="H202" s="1">
        <v>2</v>
      </c>
      <c r="I202" s="1">
        <v>3</v>
      </c>
      <c r="J202" s="1">
        <v>3</v>
      </c>
      <c r="K202" s="1">
        <v>3</v>
      </c>
      <c r="L202" s="1">
        <v>3</v>
      </c>
      <c r="M202" s="1">
        <v>3</v>
      </c>
      <c r="N202" s="1">
        <v>3</v>
      </c>
    </row>
    <row r="203" spans="1:14" x14ac:dyDescent="0.25">
      <c r="A203" s="1" t="s">
        <v>7</v>
      </c>
      <c r="B203" s="1">
        <v>0</v>
      </c>
      <c r="C203" s="1">
        <v>2</v>
      </c>
      <c r="D203" s="1">
        <v>6</v>
      </c>
      <c r="E203" s="1">
        <v>6</v>
      </c>
      <c r="F203" s="1">
        <v>7</v>
      </c>
      <c r="G203" s="1">
        <v>7</v>
      </c>
      <c r="H203" s="1">
        <v>11</v>
      </c>
      <c r="I203" s="1">
        <v>14</v>
      </c>
      <c r="J203" s="1">
        <v>15</v>
      </c>
      <c r="K203" s="1">
        <v>22</v>
      </c>
      <c r="L203" s="1">
        <v>23</v>
      </c>
      <c r="M203" s="1">
        <v>25</v>
      </c>
      <c r="N203" s="1">
        <v>25</v>
      </c>
    </row>
    <row r="204" spans="1:14" x14ac:dyDescent="0.25">
      <c r="A204" s="1" t="s">
        <v>10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</row>
    <row r="207" spans="1:14" x14ac:dyDescent="0.25">
      <c r="A207" s="3" t="s">
        <v>192</v>
      </c>
    </row>
    <row r="208" spans="1:14" x14ac:dyDescent="0.25">
      <c r="A208" s="10"/>
      <c r="B208" s="10">
        <v>44837</v>
      </c>
      <c r="C208" s="10">
        <v>44844</v>
      </c>
      <c r="D208" s="10">
        <v>44851</v>
      </c>
      <c r="E208" s="10">
        <v>44858</v>
      </c>
      <c r="F208" s="10">
        <v>44865</v>
      </c>
      <c r="G208" s="10">
        <v>44872</v>
      </c>
      <c r="H208" s="10">
        <v>44879</v>
      </c>
      <c r="I208" s="10">
        <v>44886</v>
      </c>
      <c r="J208" s="10">
        <v>44893</v>
      </c>
      <c r="K208" s="10">
        <v>44900</v>
      </c>
      <c r="L208" s="10">
        <v>44907</v>
      </c>
      <c r="M208" s="10">
        <v>44914</v>
      </c>
      <c r="N208" s="10">
        <v>44921</v>
      </c>
    </row>
    <row r="209" spans="1:17" x14ac:dyDescent="0.25">
      <c r="A209" s="1" t="s">
        <v>3</v>
      </c>
      <c r="B209" s="1">
        <v>0</v>
      </c>
      <c r="C209" s="1">
        <v>0</v>
      </c>
      <c r="D209" s="1">
        <v>7</v>
      </c>
      <c r="E209" s="1">
        <v>7</v>
      </c>
      <c r="F209" s="1">
        <v>8</v>
      </c>
      <c r="G209" s="1">
        <v>13</v>
      </c>
      <c r="H209" s="1">
        <v>19</v>
      </c>
      <c r="I209" s="1">
        <v>23</v>
      </c>
      <c r="J209" s="1">
        <v>29</v>
      </c>
      <c r="K209" s="1">
        <v>37</v>
      </c>
      <c r="L209" s="1">
        <v>41</v>
      </c>
      <c r="M209" s="1">
        <v>45</v>
      </c>
      <c r="N209" s="1">
        <v>45</v>
      </c>
    </row>
    <row r="210" spans="1:17" x14ac:dyDescent="0.25">
      <c r="A210" s="1" t="s">
        <v>18</v>
      </c>
      <c r="B210" s="1">
        <v>0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1</v>
      </c>
      <c r="I210" s="1">
        <v>1</v>
      </c>
      <c r="J210" s="1">
        <v>4</v>
      </c>
      <c r="K210" s="1">
        <v>7</v>
      </c>
      <c r="L210" s="1">
        <v>9</v>
      </c>
      <c r="M210" s="1">
        <v>9</v>
      </c>
      <c r="N210" s="1">
        <v>9</v>
      </c>
    </row>
    <row r="211" spans="1:17" x14ac:dyDescent="0.25">
      <c r="A211" s="1" t="s">
        <v>16</v>
      </c>
      <c r="B211" s="1">
        <v>0</v>
      </c>
      <c r="C211" s="1">
        <v>2</v>
      </c>
      <c r="D211" s="1">
        <v>8</v>
      </c>
      <c r="E211" s="1">
        <v>8</v>
      </c>
      <c r="F211" s="1">
        <v>9</v>
      </c>
      <c r="G211" s="1">
        <v>13</v>
      </c>
      <c r="H211" s="1">
        <v>21</v>
      </c>
      <c r="I211" s="1">
        <v>24</v>
      </c>
      <c r="J211" s="1">
        <v>28</v>
      </c>
      <c r="K211" s="1">
        <v>31</v>
      </c>
      <c r="L211" s="1">
        <v>35</v>
      </c>
      <c r="M211" s="1">
        <v>39</v>
      </c>
      <c r="N211" s="1">
        <v>39</v>
      </c>
    </row>
    <row r="212" spans="1:17" x14ac:dyDescent="0.25">
      <c r="A212" s="1" t="s">
        <v>22</v>
      </c>
      <c r="B212" s="1">
        <v>0</v>
      </c>
      <c r="C212" s="1">
        <v>2</v>
      </c>
      <c r="D212" s="1">
        <v>10</v>
      </c>
      <c r="E212" s="1">
        <v>10</v>
      </c>
      <c r="F212" s="1">
        <v>11</v>
      </c>
      <c r="G212" s="1">
        <v>15</v>
      </c>
      <c r="H212" s="1">
        <v>24</v>
      </c>
      <c r="I212" s="1">
        <v>24</v>
      </c>
      <c r="J212" s="1">
        <v>30</v>
      </c>
      <c r="K212" s="1">
        <v>32</v>
      </c>
      <c r="L212" s="1">
        <v>35</v>
      </c>
      <c r="M212" s="1">
        <v>39</v>
      </c>
      <c r="N212" s="1">
        <v>39</v>
      </c>
    </row>
    <row r="213" spans="1:17" x14ac:dyDescent="0.25">
      <c r="A213" s="1" t="s">
        <v>4</v>
      </c>
      <c r="B213" s="1">
        <v>0</v>
      </c>
      <c r="C213" s="1">
        <v>2</v>
      </c>
      <c r="D213" s="1">
        <v>9</v>
      </c>
      <c r="E213" s="1">
        <v>9</v>
      </c>
      <c r="F213" s="1">
        <v>10</v>
      </c>
      <c r="G213" s="1">
        <v>14</v>
      </c>
      <c r="H213" s="1">
        <v>23</v>
      </c>
      <c r="I213" s="1">
        <v>27</v>
      </c>
      <c r="J213" s="1">
        <v>33</v>
      </c>
      <c r="K213" s="1">
        <v>41</v>
      </c>
      <c r="L213" s="1">
        <v>45</v>
      </c>
      <c r="M213" s="1">
        <v>49</v>
      </c>
      <c r="N213" s="1">
        <v>49</v>
      </c>
    </row>
    <row r="214" spans="1:17" x14ac:dyDescent="0.25">
      <c r="A214" s="1" t="s">
        <v>6</v>
      </c>
      <c r="B214" s="1">
        <v>0</v>
      </c>
      <c r="C214" s="1">
        <v>2</v>
      </c>
      <c r="D214" s="1">
        <v>10</v>
      </c>
      <c r="E214" s="1">
        <v>10</v>
      </c>
      <c r="F214" s="1">
        <v>11</v>
      </c>
      <c r="G214" s="1">
        <v>13</v>
      </c>
      <c r="H214" s="1">
        <v>22</v>
      </c>
      <c r="I214" s="1">
        <v>25</v>
      </c>
      <c r="J214" s="1">
        <v>31</v>
      </c>
      <c r="K214" s="1">
        <v>36</v>
      </c>
      <c r="L214" s="1">
        <v>38</v>
      </c>
      <c r="M214" s="1">
        <v>42</v>
      </c>
      <c r="N214" s="1">
        <v>42</v>
      </c>
    </row>
    <row r="215" spans="1:17" x14ac:dyDescent="0.25">
      <c r="A215" s="1" t="s">
        <v>5</v>
      </c>
      <c r="B215" s="1">
        <v>0</v>
      </c>
      <c r="C215" s="1">
        <v>2</v>
      </c>
      <c r="D215" s="1">
        <v>8</v>
      </c>
      <c r="E215" s="1">
        <v>8</v>
      </c>
      <c r="F215" s="1">
        <v>9</v>
      </c>
      <c r="G215" s="1">
        <v>14</v>
      </c>
      <c r="H215" s="1">
        <v>23</v>
      </c>
      <c r="I215" s="1">
        <v>27</v>
      </c>
      <c r="J215" s="1">
        <v>33</v>
      </c>
      <c r="K215" s="1">
        <v>41</v>
      </c>
      <c r="L215" s="1">
        <v>45</v>
      </c>
      <c r="M215" s="1">
        <v>47</v>
      </c>
      <c r="N215" s="1">
        <v>47</v>
      </c>
    </row>
    <row r="216" spans="1:17" x14ac:dyDescent="0.25">
      <c r="A216" s="1" t="s">
        <v>8</v>
      </c>
      <c r="B216" s="1">
        <v>0</v>
      </c>
      <c r="C216" s="1">
        <v>0</v>
      </c>
      <c r="D216" s="1">
        <v>5</v>
      </c>
      <c r="E216" s="1">
        <v>5</v>
      </c>
      <c r="F216" s="1">
        <v>5</v>
      </c>
      <c r="G216" s="1">
        <v>10</v>
      </c>
      <c r="H216" s="1">
        <v>16</v>
      </c>
      <c r="I216" s="1">
        <v>18</v>
      </c>
      <c r="J216" s="1">
        <v>20</v>
      </c>
      <c r="K216" s="1">
        <v>27</v>
      </c>
      <c r="L216" s="1">
        <v>30</v>
      </c>
      <c r="M216" s="1">
        <v>30</v>
      </c>
      <c r="N216" s="1">
        <v>30</v>
      </c>
    </row>
    <row r="217" spans="1:17" x14ac:dyDescent="0.25">
      <c r="A217" s="1" t="s">
        <v>12</v>
      </c>
      <c r="B217" s="1">
        <v>0</v>
      </c>
      <c r="C217" s="1">
        <v>2</v>
      </c>
      <c r="D217" s="1">
        <v>10</v>
      </c>
      <c r="E217" s="1">
        <v>10</v>
      </c>
      <c r="F217" s="1">
        <v>11</v>
      </c>
      <c r="G217" s="1">
        <v>16</v>
      </c>
      <c r="H217" s="1">
        <v>25</v>
      </c>
      <c r="I217" s="1">
        <v>29</v>
      </c>
      <c r="J217" s="1">
        <v>35</v>
      </c>
      <c r="K217" s="1">
        <v>41</v>
      </c>
      <c r="L217" s="1">
        <v>45</v>
      </c>
      <c r="M217" s="1">
        <v>48</v>
      </c>
      <c r="N217" s="1">
        <v>48</v>
      </c>
      <c r="O217" s="7"/>
      <c r="P217" s="7"/>
      <c r="Q217" s="7"/>
    </row>
    <row r="218" spans="1:17" x14ac:dyDescent="0.25">
      <c r="A218" s="2" t="s">
        <v>23</v>
      </c>
      <c r="B218" s="1">
        <v>0</v>
      </c>
      <c r="C218" s="1">
        <v>2</v>
      </c>
      <c r="D218" s="1">
        <v>2</v>
      </c>
      <c r="E218" s="1">
        <v>2</v>
      </c>
      <c r="F218" s="1">
        <v>2</v>
      </c>
      <c r="G218" s="1">
        <v>3</v>
      </c>
      <c r="H218" s="1">
        <v>9</v>
      </c>
      <c r="I218" s="1">
        <v>13</v>
      </c>
      <c r="J218" s="1">
        <v>19</v>
      </c>
      <c r="K218" s="1">
        <v>23</v>
      </c>
      <c r="L218" s="1">
        <v>25</v>
      </c>
      <c r="M218" s="1">
        <v>29</v>
      </c>
      <c r="N218" s="1">
        <v>29</v>
      </c>
    </row>
    <row r="219" spans="1:17" x14ac:dyDescent="0.25">
      <c r="A219" s="2" t="s">
        <v>11</v>
      </c>
      <c r="B219" s="1">
        <v>0</v>
      </c>
      <c r="C219" s="1">
        <v>2</v>
      </c>
      <c r="D219" s="1">
        <v>4</v>
      </c>
      <c r="E219" s="1">
        <v>4</v>
      </c>
      <c r="F219" s="1">
        <v>4</v>
      </c>
      <c r="G219" s="1">
        <v>6</v>
      </c>
      <c r="H219" s="1">
        <v>10</v>
      </c>
      <c r="I219" s="1">
        <v>12</v>
      </c>
      <c r="J219" s="1">
        <v>15</v>
      </c>
      <c r="K219" s="1">
        <v>20</v>
      </c>
      <c r="L219" s="1">
        <v>22</v>
      </c>
      <c r="M219" s="1">
        <v>26</v>
      </c>
      <c r="N219" s="1">
        <v>26</v>
      </c>
    </row>
    <row r="220" spans="1:17" x14ac:dyDescent="0.25">
      <c r="A220" s="1" t="s">
        <v>9</v>
      </c>
      <c r="B220" s="1">
        <v>0</v>
      </c>
      <c r="C220" s="1">
        <v>2</v>
      </c>
      <c r="D220" s="1">
        <v>5</v>
      </c>
      <c r="E220" s="1">
        <v>5</v>
      </c>
      <c r="F220" s="1">
        <v>6</v>
      </c>
      <c r="G220" s="1">
        <v>6</v>
      </c>
      <c r="H220" s="1">
        <v>11</v>
      </c>
      <c r="I220" s="1">
        <v>14</v>
      </c>
      <c r="J220" s="1">
        <v>15</v>
      </c>
      <c r="K220" s="1">
        <v>22</v>
      </c>
      <c r="L220" s="1">
        <v>24</v>
      </c>
      <c r="M220" s="1">
        <v>24</v>
      </c>
      <c r="N220" s="1">
        <v>24</v>
      </c>
    </row>
    <row r="221" spans="1:17" x14ac:dyDescent="0.25">
      <c r="A221" s="1" t="s">
        <v>24</v>
      </c>
      <c r="B221" s="1">
        <v>0</v>
      </c>
      <c r="C221" s="1">
        <v>0</v>
      </c>
      <c r="D221" s="1">
        <v>6</v>
      </c>
      <c r="E221" s="1">
        <v>6</v>
      </c>
      <c r="F221" s="1">
        <v>7</v>
      </c>
      <c r="G221" s="1">
        <v>12</v>
      </c>
      <c r="H221" s="1">
        <v>15</v>
      </c>
      <c r="I221" s="1">
        <v>17</v>
      </c>
      <c r="J221" s="1">
        <v>19</v>
      </c>
      <c r="K221" s="1">
        <v>19</v>
      </c>
      <c r="L221" s="1">
        <v>19</v>
      </c>
      <c r="M221" s="1">
        <v>19</v>
      </c>
      <c r="N221" s="1">
        <v>19</v>
      </c>
    </row>
    <row r="222" spans="1:17" x14ac:dyDescent="0.25">
      <c r="A222" s="1" t="s">
        <v>26</v>
      </c>
      <c r="B222" s="1">
        <v>0</v>
      </c>
      <c r="C222" s="1">
        <v>0</v>
      </c>
      <c r="D222" s="1">
        <v>3</v>
      </c>
      <c r="E222" s="1">
        <v>3</v>
      </c>
      <c r="F222" s="1">
        <v>3</v>
      </c>
      <c r="G222" s="1">
        <v>6</v>
      </c>
      <c r="H222" s="1">
        <v>6</v>
      </c>
      <c r="I222" s="1">
        <v>7</v>
      </c>
      <c r="J222" s="1">
        <v>7</v>
      </c>
      <c r="K222" s="1">
        <v>7</v>
      </c>
      <c r="L222" s="1">
        <v>7</v>
      </c>
      <c r="M222" s="1">
        <v>7</v>
      </c>
      <c r="N222" s="1">
        <v>7</v>
      </c>
    </row>
    <row r="223" spans="1:17" x14ac:dyDescent="0.25">
      <c r="A223" s="1" t="s">
        <v>7</v>
      </c>
      <c r="B223" s="1">
        <v>0</v>
      </c>
      <c r="C223" s="1">
        <v>2</v>
      </c>
      <c r="D223" s="1">
        <v>7</v>
      </c>
      <c r="E223" s="1">
        <v>7</v>
      </c>
      <c r="F223" s="1">
        <v>8</v>
      </c>
      <c r="G223" s="1">
        <v>8</v>
      </c>
      <c r="H223" s="1">
        <v>14</v>
      </c>
      <c r="I223" s="1">
        <v>17</v>
      </c>
      <c r="J223" s="1">
        <v>18</v>
      </c>
      <c r="K223" s="1">
        <v>26</v>
      </c>
      <c r="L223" s="1">
        <v>30</v>
      </c>
      <c r="M223" s="1">
        <v>34</v>
      </c>
      <c r="N223" s="1">
        <v>34</v>
      </c>
    </row>
    <row r="224" spans="1:17" x14ac:dyDescent="0.25">
      <c r="A224" s="1" t="s">
        <v>10</v>
      </c>
      <c r="B224" s="1">
        <v>0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2</v>
      </c>
      <c r="K224" s="1">
        <v>4</v>
      </c>
      <c r="L224" s="1">
        <v>4</v>
      </c>
      <c r="M224" s="1">
        <v>4</v>
      </c>
      <c r="N224" s="1">
        <v>4</v>
      </c>
    </row>
    <row r="227" spans="1:14" x14ac:dyDescent="0.25">
      <c r="A227" s="3" t="s">
        <v>193</v>
      </c>
    </row>
    <row r="228" spans="1:14" x14ac:dyDescent="0.25">
      <c r="A228" s="10"/>
      <c r="B228" s="10">
        <v>44837</v>
      </c>
      <c r="C228" s="10">
        <v>44844</v>
      </c>
      <c r="D228" s="10">
        <v>44851</v>
      </c>
      <c r="E228" s="10">
        <v>44858</v>
      </c>
      <c r="F228" s="10">
        <v>44865</v>
      </c>
      <c r="G228" s="10">
        <v>44872</v>
      </c>
      <c r="H228" s="10">
        <v>44879</v>
      </c>
      <c r="I228" s="10">
        <v>44886</v>
      </c>
      <c r="J228" s="10">
        <v>44893</v>
      </c>
      <c r="K228" s="10">
        <v>44900</v>
      </c>
      <c r="L228" s="10">
        <v>44907</v>
      </c>
      <c r="M228" s="10">
        <v>44914</v>
      </c>
      <c r="N228" s="10">
        <v>44921</v>
      </c>
    </row>
    <row r="229" spans="1:14" x14ac:dyDescent="0.25">
      <c r="A229" s="1" t="s">
        <v>3</v>
      </c>
      <c r="B229" s="7"/>
      <c r="C229" s="7"/>
      <c r="D229" s="7">
        <v>0.42857142857142855</v>
      </c>
      <c r="E229" s="7">
        <v>0.42857142857142855</v>
      </c>
      <c r="F229" s="7">
        <v>0.375</v>
      </c>
      <c r="G229" s="7">
        <v>0.38461538461538464</v>
      </c>
      <c r="H229" s="7">
        <v>0.52631578947368418</v>
      </c>
      <c r="I229" s="7">
        <v>0.56521739130434778</v>
      </c>
      <c r="J229" s="7">
        <v>0.55172413793103448</v>
      </c>
      <c r="K229" s="7">
        <v>0.59459459459459463</v>
      </c>
      <c r="L229" s="7">
        <v>0.56097560975609762</v>
      </c>
      <c r="M229" s="7">
        <v>0.55555555555555558</v>
      </c>
      <c r="N229" s="7">
        <v>0.55555555555555558</v>
      </c>
    </row>
    <row r="230" spans="1:14" x14ac:dyDescent="0.25">
      <c r="A230" s="1" t="s">
        <v>18</v>
      </c>
      <c r="B230" s="7"/>
      <c r="C230" s="7"/>
      <c r="D230" s="7"/>
      <c r="E230" s="7"/>
      <c r="F230" s="7"/>
      <c r="G230" s="7"/>
      <c r="H230" s="7">
        <v>0</v>
      </c>
      <c r="I230" s="7">
        <v>0</v>
      </c>
      <c r="J230" s="7">
        <v>0.25</v>
      </c>
      <c r="K230" s="7">
        <v>0.2857142857142857</v>
      </c>
      <c r="L230" s="7">
        <v>0.33333333333333331</v>
      </c>
      <c r="M230" s="7">
        <v>0.33333333333333331</v>
      </c>
      <c r="N230" s="7">
        <v>0.33333333333333331</v>
      </c>
    </row>
    <row r="231" spans="1:14" x14ac:dyDescent="0.25">
      <c r="A231" s="1" t="s">
        <v>16</v>
      </c>
      <c r="B231" s="7"/>
      <c r="C231" s="7">
        <v>0</v>
      </c>
      <c r="D231" s="7">
        <v>0.25</v>
      </c>
      <c r="E231" s="7">
        <v>0.25</v>
      </c>
      <c r="F231" s="7">
        <v>0.33333333333333331</v>
      </c>
      <c r="G231" s="7">
        <v>0.30769230769230771</v>
      </c>
      <c r="H231" s="7">
        <v>0.2857142857142857</v>
      </c>
      <c r="I231" s="7">
        <v>0.33333333333333331</v>
      </c>
      <c r="J231" s="7">
        <v>0.35714285714285715</v>
      </c>
      <c r="K231" s="7">
        <v>0.41935483870967744</v>
      </c>
      <c r="L231" s="7">
        <v>0.4</v>
      </c>
      <c r="M231" s="7">
        <v>0.4358974358974359</v>
      </c>
      <c r="N231" s="7">
        <v>0.4358974358974359</v>
      </c>
    </row>
    <row r="232" spans="1:14" x14ac:dyDescent="0.25">
      <c r="A232" s="1" t="s">
        <v>22</v>
      </c>
      <c r="B232" s="7"/>
      <c r="C232" s="7">
        <v>0.5</v>
      </c>
      <c r="D232" s="7">
        <v>0.6</v>
      </c>
      <c r="E232" s="7">
        <v>0.6</v>
      </c>
      <c r="F232" s="7">
        <v>0.54545454545454541</v>
      </c>
      <c r="G232" s="7">
        <v>0.66666666666666663</v>
      </c>
      <c r="H232" s="7">
        <v>0.58333333333333337</v>
      </c>
      <c r="I232" s="7">
        <v>0.58333333333333337</v>
      </c>
      <c r="J232" s="7">
        <v>0.53333333333333333</v>
      </c>
      <c r="K232" s="7">
        <v>0.5</v>
      </c>
      <c r="L232" s="7">
        <v>0.48571428571428571</v>
      </c>
      <c r="M232" s="7">
        <v>0.46153846153846156</v>
      </c>
      <c r="N232" s="7">
        <v>0.46153846153846156</v>
      </c>
    </row>
    <row r="233" spans="1:14" x14ac:dyDescent="0.25">
      <c r="A233" s="1" t="s">
        <v>4</v>
      </c>
      <c r="B233" s="7"/>
      <c r="C233" s="7">
        <v>0.5</v>
      </c>
      <c r="D233" s="7">
        <v>0.77777777777777779</v>
      </c>
      <c r="E233" s="7">
        <v>0.77777777777777779</v>
      </c>
      <c r="F233" s="7">
        <v>0.8</v>
      </c>
      <c r="G233" s="7">
        <v>0.7857142857142857</v>
      </c>
      <c r="H233" s="7">
        <v>0.73913043478260865</v>
      </c>
      <c r="I233" s="7">
        <v>0.62962962962962965</v>
      </c>
      <c r="J233" s="7">
        <v>0.63636363636363635</v>
      </c>
      <c r="K233" s="7">
        <v>0.58536585365853655</v>
      </c>
      <c r="L233" s="7">
        <v>0.6</v>
      </c>
      <c r="M233" s="7">
        <v>0.59183673469387754</v>
      </c>
      <c r="N233" s="7">
        <v>0.59183673469387754</v>
      </c>
    </row>
    <row r="234" spans="1:14" x14ac:dyDescent="0.25">
      <c r="A234" s="1" t="s">
        <v>6</v>
      </c>
      <c r="B234" s="7"/>
      <c r="C234" s="7">
        <v>0</v>
      </c>
      <c r="D234" s="7">
        <v>0.4</v>
      </c>
      <c r="E234" s="7">
        <v>0.4</v>
      </c>
      <c r="F234" s="7">
        <v>0.36363636363636365</v>
      </c>
      <c r="G234" s="7">
        <v>0.38461538461538464</v>
      </c>
      <c r="H234" s="7">
        <v>0.45454545454545453</v>
      </c>
      <c r="I234" s="7">
        <v>0.44</v>
      </c>
      <c r="J234" s="7">
        <v>0.5161290322580645</v>
      </c>
      <c r="K234" s="7">
        <v>0.55555555555555558</v>
      </c>
      <c r="L234" s="7">
        <v>0.57894736842105265</v>
      </c>
      <c r="M234" s="7">
        <v>0.5714285714285714</v>
      </c>
      <c r="N234" s="7">
        <v>0.5714285714285714</v>
      </c>
    </row>
    <row r="235" spans="1:14" x14ac:dyDescent="0.25">
      <c r="A235" s="1" t="s">
        <v>5</v>
      </c>
      <c r="B235" s="7"/>
      <c r="C235" s="7">
        <v>0.5</v>
      </c>
      <c r="D235" s="7">
        <v>0.375</v>
      </c>
      <c r="E235" s="7">
        <v>0.375</v>
      </c>
      <c r="F235" s="7">
        <v>0.44444444444444442</v>
      </c>
      <c r="G235" s="7">
        <v>0.42857142857142855</v>
      </c>
      <c r="H235" s="7">
        <v>0.52173913043478259</v>
      </c>
      <c r="I235" s="7">
        <v>0.48148148148148145</v>
      </c>
      <c r="J235" s="7">
        <v>0.51515151515151514</v>
      </c>
      <c r="K235" s="7">
        <v>0.51219512195121952</v>
      </c>
      <c r="L235" s="7">
        <v>0.51111111111111107</v>
      </c>
      <c r="M235" s="7">
        <v>0.51063829787234039</v>
      </c>
      <c r="N235" s="7">
        <v>0.51063829787234039</v>
      </c>
    </row>
    <row r="236" spans="1:14" x14ac:dyDescent="0.25">
      <c r="A236" s="1" t="s">
        <v>8</v>
      </c>
      <c r="B236" s="7"/>
      <c r="C236" s="7"/>
      <c r="D236" s="7">
        <v>0.4</v>
      </c>
      <c r="E236" s="7">
        <v>0.4</v>
      </c>
      <c r="F236" s="7">
        <v>0.4</v>
      </c>
      <c r="G236" s="7">
        <v>0.5</v>
      </c>
      <c r="H236" s="7">
        <v>0.4375</v>
      </c>
      <c r="I236" s="7">
        <v>0.44444444444444442</v>
      </c>
      <c r="J236" s="7">
        <v>0.4</v>
      </c>
      <c r="K236" s="7">
        <v>0.40740740740740738</v>
      </c>
      <c r="L236" s="7">
        <v>0.46666666666666667</v>
      </c>
      <c r="M236" s="7">
        <v>0.46666666666666667</v>
      </c>
      <c r="N236" s="7">
        <v>0.46666666666666667</v>
      </c>
    </row>
    <row r="237" spans="1:14" x14ac:dyDescent="0.25">
      <c r="A237" s="1" t="s">
        <v>12</v>
      </c>
      <c r="B237" s="7"/>
      <c r="C237" s="7">
        <v>1</v>
      </c>
      <c r="D237" s="7">
        <v>0.6</v>
      </c>
      <c r="E237" s="7">
        <v>0.6</v>
      </c>
      <c r="F237" s="7">
        <v>0.54545454545454541</v>
      </c>
      <c r="G237" s="7">
        <v>0.5</v>
      </c>
      <c r="H237" s="7">
        <v>0.56000000000000005</v>
      </c>
      <c r="I237" s="7">
        <v>0.55172413793103448</v>
      </c>
      <c r="J237" s="7">
        <v>0.51428571428571423</v>
      </c>
      <c r="K237" s="7">
        <v>0.51219512195121952</v>
      </c>
      <c r="L237" s="7">
        <v>0.51111111111111107</v>
      </c>
      <c r="M237" s="7">
        <v>0.5</v>
      </c>
      <c r="N237" s="7">
        <v>0.5</v>
      </c>
    </row>
    <row r="238" spans="1:14" x14ac:dyDescent="0.25">
      <c r="A238" s="2" t="s">
        <v>23</v>
      </c>
      <c r="B238" s="7"/>
      <c r="C238" s="7">
        <v>0.5</v>
      </c>
      <c r="D238" s="7">
        <v>0.5</v>
      </c>
      <c r="E238" s="7">
        <v>0.5</v>
      </c>
      <c r="F238" s="7">
        <v>0.5</v>
      </c>
      <c r="G238" s="7">
        <v>0.66666666666666663</v>
      </c>
      <c r="H238" s="7">
        <v>0.44444444444444442</v>
      </c>
      <c r="I238" s="7">
        <v>0.46153846153846156</v>
      </c>
      <c r="J238" s="7">
        <v>0.42105263157894735</v>
      </c>
      <c r="K238" s="7">
        <v>0.39130434782608697</v>
      </c>
      <c r="L238" s="7">
        <v>0.4</v>
      </c>
      <c r="M238" s="7">
        <v>0.41379310344827586</v>
      </c>
      <c r="N238" s="7">
        <v>0.41379310344827586</v>
      </c>
    </row>
    <row r="239" spans="1:14" x14ac:dyDescent="0.25">
      <c r="A239" s="2" t="s">
        <v>11</v>
      </c>
      <c r="B239" s="7"/>
      <c r="C239" s="7">
        <v>0.5</v>
      </c>
      <c r="D239" s="7">
        <v>0.5</v>
      </c>
      <c r="E239" s="7">
        <v>0.5</v>
      </c>
      <c r="F239" s="7">
        <v>0.5</v>
      </c>
      <c r="G239" s="7">
        <v>0.5</v>
      </c>
      <c r="H239" s="7">
        <v>0.4</v>
      </c>
      <c r="I239" s="7">
        <v>0.5</v>
      </c>
      <c r="J239" s="7">
        <v>0.53333333333333333</v>
      </c>
      <c r="K239" s="7">
        <v>0.5</v>
      </c>
      <c r="L239" s="7">
        <v>0.54545454545454541</v>
      </c>
      <c r="M239" s="7">
        <v>0.57692307692307687</v>
      </c>
      <c r="N239" s="7">
        <v>0.57692307692307687</v>
      </c>
    </row>
    <row r="240" spans="1:14" s="10" customFormat="1" x14ac:dyDescent="0.25">
      <c r="A240" s="1" t="s">
        <v>9</v>
      </c>
      <c r="B240" s="7"/>
      <c r="C240" s="7">
        <v>0.5</v>
      </c>
      <c r="D240" s="7">
        <v>0.6</v>
      </c>
      <c r="E240" s="7">
        <v>0.6</v>
      </c>
      <c r="F240" s="7">
        <v>0.66666666666666663</v>
      </c>
      <c r="G240" s="7">
        <v>0.66666666666666663</v>
      </c>
      <c r="H240" s="7">
        <v>0.54545454545454541</v>
      </c>
      <c r="I240" s="7">
        <v>0.42857142857142855</v>
      </c>
      <c r="J240" s="7">
        <v>0.46666666666666667</v>
      </c>
      <c r="K240" s="7">
        <v>0.36363636363636365</v>
      </c>
      <c r="L240" s="7">
        <v>0.33333333333333331</v>
      </c>
      <c r="M240" s="7">
        <v>0.33333333333333331</v>
      </c>
      <c r="N240" s="7">
        <v>0.33333333333333331</v>
      </c>
    </row>
    <row r="241" spans="1:14" s="7" customFormat="1" x14ac:dyDescent="0.25">
      <c r="A241" s="1" t="s">
        <v>24</v>
      </c>
      <c r="D241" s="7">
        <v>0.33333333333333331</v>
      </c>
      <c r="E241" s="7">
        <v>0.33333333333333331</v>
      </c>
      <c r="F241" s="7">
        <v>0.2857142857142857</v>
      </c>
      <c r="G241" s="7">
        <v>0.41666666666666669</v>
      </c>
      <c r="H241" s="7">
        <v>0.33333333333333331</v>
      </c>
      <c r="I241" s="7">
        <v>0.35294117647058826</v>
      </c>
      <c r="J241" s="7">
        <v>0.36842105263157893</v>
      </c>
      <c r="K241" s="7">
        <v>0.36842105263157893</v>
      </c>
      <c r="L241" s="7">
        <v>0.36842105263157893</v>
      </c>
      <c r="M241" s="7">
        <v>0.36842105263157893</v>
      </c>
      <c r="N241" s="7">
        <v>0.36842105263157893</v>
      </c>
    </row>
    <row r="242" spans="1:14" s="7" customFormat="1" x14ac:dyDescent="0.25">
      <c r="A242" s="1" t="s">
        <v>26</v>
      </c>
      <c r="D242" s="7">
        <v>0.33333333333333331</v>
      </c>
      <c r="E242" s="7">
        <v>0.33333333333333331</v>
      </c>
      <c r="F242" s="7">
        <v>0.33333333333333331</v>
      </c>
      <c r="G242" s="7">
        <v>0.33333333333333331</v>
      </c>
      <c r="H242" s="7">
        <v>0.33333333333333331</v>
      </c>
      <c r="I242" s="7">
        <v>0.42857142857142855</v>
      </c>
      <c r="J242" s="7">
        <v>0.42857142857142855</v>
      </c>
      <c r="K242" s="7">
        <v>0.42857142857142855</v>
      </c>
      <c r="L242" s="7">
        <v>0.42857142857142855</v>
      </c>
      <c r="M242" s="7">
        <v>0.42857142857142855</v>
      </c>
      <c r="N242" s="7">
        <v>0.42857142857142855</v>
      </c>
    </row>
    <row r="243" spans="1:14" s="7" customFormat="1" x14ac:dyDescent="0.25">
      <c r="A243" s="1" t="s">
        <v>7</v>
      </c>
      <c r="C243" s="7">
        <v>1</v>
      </c>
      <c r="D243" s="7">
        <v>0.8571428571428571</v>
      </c>
      <c r="E243" s="7">
        <v>0.8571428571428571</v>
      </c>
      <c r="F243" s="7">
        <v>0.875</v>
      </c>
      <c r="G243" s="7">
        <v>0.875</v>
      </c>
      <c r="H243" s="7">
        <v>0.7857142857142857</v>
      </c>
      <c r="I243" s="7">
        <v>0.82352941176470584</v>
      </c>
      <c r="J243" s="7">
        <v>0.83333333333333337</v>
      </c>
      <c r="K243" s="7">
        <v>0.84615384615384615</v>
      </c>
      <c r="L243" s="7">
        <v>0.76666666666666672</v>
      </c>
      <c r="M243" s="7">
        <v>0.73529411764705888</v>
      </c>
      <c r="N243" s="7">
        <v>0.73529411764705888</v>
      </c>
    </row>
    <row r="244" spans="1:14" s="7" customFormat="1" x14ac:dyDescent="0.25">
      <c r="A244" s="1" t="s">
        <v>10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</row>
    <row r="245" spans="1:14" s="7" customFormat="1" x14ac:dyDescent="0.25">
      <c r="A245" s="1"/>
    </row>
    <row r="246" spans="1:14" s="7" customFormat="1" x14ac:dyDescent="0.25">
      <c r="A246" s="1"/>
    </row>
    <row r="247" spans="1:14" s="7" customFormat="1" x14ac:dyDescent="0.25">
      <c r="A247" s="3" t="s">
        <v>190</v>
      </c>
      <c r="B247" s="1"/>
      <c r="C247" s="1"/>
      <c r="D247" s="1"/>
      <c r="E247" s="1"/>
      <c r="F247" s="1"/>
      <c r="G247" s="1"/>
      <c r="H247" s="1"/>
      <c r="I247" s="1"/>
    </row>
    <row r="248" spans="1:14" s="7" customFormat="1" x14ac:dyDescent="0.25">
      <c r="A248" t="s">
        <v>1</v>
      </c>
      <c r="B248" t="s">
        <v>14</v>
      </c>
      <c r="C248" t="s">
        <v>17</v>
      </c>
      <c r="D248" t="s">
        <v>21</v>
      </c>
      <c r="E248" t="s">
        <v>25</v>
      </c>
      <c r="F248" t="s">
        <v>13</v>
      </c>
      <c r="G248" t="s">
        <v>19</v>
      </c>
      <c r="H248" t="s">
        <v>20</v>
      </c>
      <c r="I248" t="s">
        <v>2</v>
      </c>
    </row>
    <row r="249" spans="1:14" s="7" customFormat="1" x14ac:dyDescent="0.25">
      <c r="A249" s="12" t="s">
        <v>32</v>
      </c>
      <c r="B249" s="12">
        <v>8</v>
      </c>
      <c r="C249" s="8">
        <v>8</v>
      </c>
      <c r="D249" s="8">
        <v>3</v>
      </c>
      <c r="E249" s="8">
        <v>6</v>
      </c>
      <c r="F249" s="8">
        <v>6</v>
      </c>
      <c r="G249" s="8">
        <v>6</v>
      </c>
      <c r="H249" s="8">
        <v>6</v>
      </c>
      <c r="I249" s="8">
        <v>8</v>
      </c>
    </row>
    <row r="250" spans="1:14" s="7" customFormat="1" x14ac:dyDescent="0.25">
      <c r="A250" s="8" t="s">
        <v>34</v>
      </c>
      <c r="B250" s="6">
        <v>0.15686274509803921</v>
      </c>
      <c r="C250" s="7">
        <v>0.15686274509803921</v>
      </c>
      <c r="D250" s="7">
        <v>5.8823529411764705E-2</v>
      </c>
      <c r="E250" s="7">
        <v>0.11764705882352941</v>
      </c>
      <c r="F250" s="7">
        <v>0.11764705882352941</v>
      </c>
      <c r="G250" s="7">
        <v>0.11764705882352941</v>
      </c>
      <c r="H250" s="7">
        <v>0.11764705882352941</v>
      </c>
      <c r="I250" s="7">
        <v>0.15686274509803921</v>
      </c>
    </row>
    <row r="251" spans="1:14" s="7" customFormat="1" x14ac:dyDescent="0.25">
      <c r="A251" s="2"/>
    </row>
    <row r="252" spans="1:14" s="7" customFormat="1" x14ac:dyDescent="0.25">
      <c r="A252" s="1"/>
    </row>
    <row r="253" spans="1:14" s="7" customFormat="1" x14ac:dyDescent="0.25">
      <c r="A253" s="3" t="s">
        <v>194</v>
      </c>
      <c r="B253" s="1"/>
      <c r="C253" s="1"/>
      <c r="D253" s="1"/>
      <c r="E253" s="1"/>
      <c r="F253" s="1"/>
      <c r="G253" s="1"/>
      <c r="H253" s="1"/>
      <c r="I253" s="1"/>
    </row>
    <row r="254" spans="1:14" s="7" customFormat="1" x14ac:dyDescent="0.25">
      <c r="A254" s="1"/>
      <c r="B254" t="s">
        <v>14</v>
      </c>
      <c r="C254" t="s">
        <v>17</v>
      </c>
      <c r="D254" t="s">
        <v>21</v>
      </c>
      <c r="E254" t="s">
        <v>25</v>
      </c>
      <c r="F254" t="s">
        <v>13</v>
      </c>
      <c r="G254" t="s">
        <v>19</v>
      </c>
      <c r="H254" t="s">
        <v>20</v>
      </c>
      <c r="I254" t="s">
        <v>2</v>
      </c>
    </row>
    <row r="255" spans="1:14" s="7" customFormat="1" x14ac:dyDescent="0.25">
      <c r="A255" s="1" t="s">
        <v>3</v>
      </c>
      <c r="B255" s="1">
        <v>5</v>
      </c>
      <c r="C255" s="1">
        <v>4</v>
      </c>
      <c r="D255" s="1">
        <v>2</v>
      </c>
      <c r="E255" s="1">
        <v>1</v>
      </c>
      <c r="F255" s="1">
        <v>4</v>
      </c>
      <c r="G255" s="1">
        <v>2</v>
      </c>
      <c r="H255" s="1">
        <v>4</v>
      </c>
      <c r="I255" s="1">
        <v>3</v>
      </c>
    </row>
    <row r="256" spans="1:14" s="7" customFormat="1" x14ac:dyDescent="0.25">
      <c r="A256" s="1" t="s">
        <v>18</v>
      </c>
      <c r="B256" s="1">
        <v>1</v>
      </c>
      <c r="C256" s="1">
        <v>1</v>
      </c>
      <c r="D256" s="1">
        <v>1</v>
      </c>
      <c r="E256" s="1">
        <v>0</v>
      </c>
      <c r="F256" s="1"/>
      <c r="G256" s="1"/>
      <c r="H256" s="1"/>
      <c r="I256" s="1">
        <v>0</v>
      </c>
    </row>
    <row r="257" spans="1:9" x14ac:dyDescent="0.25">
      <c r="A257" s="1" t="s">
        <v>16</v>
      </c>
      <c r="B257" s="1">
        <v>1</v>
      </c>
      <c r="C257" s="1">
        <v>5</v>
      </c>
      <c r="D257" s="1">
        <v>2</v>
      </c>
      <c r="E257" s="1">
        <v>1</v>
      </c>
      <c r="F257" s="1">
        <v>3</v>
      </c>
      <c r="G257" s="1">
        <v>1</v>
      </c>
      <c r="H257" s="1">
        <v>1</v>
      </c>
      <c r="I257" s="1">
        <v>3</v>
      </c>
    </row>
    <row r="258" spans="1:9" x14ac:dyDescent="0.25">
      <c r="A258" s="1" t="s">
        <v>22</v>
      </c>
      <c r="B258" s="1">
        <v>2</v>
      </c>
      <c r="C258" s="1">
        <v>3</v>
      </c>
      <c r="D258" s="1">
        <v>0</v>
      </c>
      <c r="E258" s="1">
        <v>2</v>
      </c>
      <c r="F258" s="1">
        <v>2</v>
      </c>
      <c r="G258" s="1">
        <v>4</v>
      </c>
      <c r="H258" s="1">
        <v>4</v>
      </c>
      <c r="I258" s="1">
        <v>1</v>
      </c>
    </row>
    <row r="259" spans="1:9" x14ac:dyDescent="0.25">
      <c r="A259" s="1" t="s">
        <v>4</v>
      </c>
      <c r="B259" s="1">
        <v>3</v>
      </c>
      <c r="C259" s="1">
        <v>5</v>
      </c>
      <c r="D259" s="1">
        <v>3</v>
      </c>
      <c r="E259" s="1">
        <v>3</v>
      </c>
      <c r="F259" s="1">
        <v>4</v>
      </c>
      <c r="G259" s="1">
        <v>3</v>
      </c>
      <c r="H259" s="1">
        <v>3</v>
      </c>
      <c r="I259" s="1">
        <v>5</v>
      </c>
    </row>
    <row r="260" spans="1:9" s="10" customFormat="1" x14ac:dyDescent="0.25">
      <c r="A260" s="1" t="s">
        <v>6</v>
      </c>
      <c r="B260" s="1">
        <v>3</v>
      </c>
      <c r="C260" s="1">
        <v>3</v>
      </c>
      <c r="D260" s="1">
        <v>1</v>
      </c>
      <c r="E260" s="1">
        <v>4</v>
      </c>
      <c r="F260" s="1">
        <v>4</v>
      </c>
      <c r="G260" s="1">
        <v>5</v>
      </c>
      <c r="H260" s="1">
        <v>2</v>
      </c>
      <c r="I260" s="1">
        <v>2</v>
      </c>
    </row>
    <row r="261" spans="1:9" s="7" customFormat="1" x14ac:dyDescent="0.25">
      <c r="A261" s="1" t="s">
        <v>5</v>
      </c>
      <c r="B261" s="1">
        <v>2</v>
      </c>
      <c r="C261" s="1">
        <v>4</v>
      </c>
      <c r="D261" s="1">
        <v>3</v>
      </c>
      <c r="E261" s="1">
        <v>2</v>
      </c>
      <c r="F261" s="1">
        <v>3</v>
      </c>
      <c r="G261" s="1">
        <v>3</v>
      </c>
      <c r="H261" s="1">
        <v>2</v>
      </c>
      <c r="I261" s="1">
        <v>5</v>
      </c>
    </row>
    <row r="262" spans="1:9" s="7" customFormat="1" x14ac:dyDescent="0.25">
      <c r="A262" s="1" t="s">
        <v>8</v>
      </c>
      <c r="B262" s="1">
        <v>3</v>
      </c>
      <c r="C262" s="1">
        <v>2</v>
      </c>
      <c r="D262" s="1">
        <v>1</v>
      </c>
      <c r="E262" s="1">
        <v>3</v>
      </c>
      <c r="F262" s="1">
        <v>0</v>
      </c>
      <c r="G262" s="1">
        <v>1</v>
      </c>
      <c r="H262" s="1">
        <v>1</v>
      </c>
      <c r="I262" s="1">
        <v>3</v>
      </c>
    </row>
    <row r="263" spans="1:9" s="7" customFormat="1" x14ac:dyDescent="0.25">
      <c r="A263" s="1" t="s">
        <v>12</v>
      </c>
      <c r="B263" s="1">
        <v>4</v>
      </c>
      <c r="C263" s="1">
        <v>3</v>
      </c>
      <c r="D263" s="1">
        <v>1</v>
      </c>
      <c r="E263" s="1">
        <v>3</v>
      </c>
      <c r="F263" s="1">
        <v>1</v>
      </c>
      <c r="G263" s="1">
        <v>3</v>
      </c>
      <c r="H263" s="1">
        <v>5</v>
      </c>
      <c r="I263" s="1">
        <v>4</v>
      </c>
    </row>
    <row r="264" spans="1:9" s="7" customFormat="1" x14ac:dyDescent="0.25">
      <c r="A264" s="2" t="s">
        <v>23</v>
      </c>
      <c r="B264" s="1">
        <v>3</v>
      </c>
      <c r="C264" s="1">
        <v>1</v>
      </c>
      <c r="D264" s="1">
        <v>0</v>
      </c>
      <c r="E264" s="1">
        <v>2</v>
      </c>
      <c r="F264" s="1">
        <v>3</v>
      </c>
      <c r="G264" s="1">
        <v>1</v>
      </c>
      <c r="H264" s="1">
        <v>0</v>
      </c>
      <c r="I264" s="1">
        <v>2</v>
      </c>
    </row>
    <row r="265" spans="1:9" s="7" customFormat="1" x14ac:dyDescent="0.25">
      <c r="A265" s="2" t="s">
        <v>11</v>
      </c>
      <c r="B265" s="1">
        <v>2</v>
      </c>
      <c r="C265" s="1">
        <v>1</v>
      </c>
      <c r="D265" s="1">
        <v>1</v>
      </c>
      <c r="E265" s="1">
        <v>2</v>
      </c>
      <c r="F265" s="1">
        <v>2</v>
      </c>
      <c r="G265" s="1">
        <v>3</v>
      </c>
      <c r="H265" s="1">
        <v>3</v>
      </c>
      <c r="I265" s="1">
        <v>1</v>
      </c>
    </row>
    <row r="266" spans="1:9" s="7" customFormat="1" x14ac:dyDescent="0.25">
      <c r="A266" s="1" t="s">
        <v>9</v>
      </c>
      <c r="B266" s="1">
        <v>1</v>
      </c>
      <c r="C266" s="1">
        <v>1</v>
      </c>
      <c r="D266" s="1"/>
      <c r="E266" s="1">
        <v>1</v>
      </c>
      <c r="F266" s="1">
        <v>0</v>
      </c>
      <c r="G266" s="1">
        <v>2</v>
      </c>
      <c r="H266" s="1">
        <v>1</v>
      </c>
      <c r="I266" s="1">
        <v>2</v>
      </c>
    </row>
    <row r="267" spans="1:9" s="7" customFormat="1" x14ac:dyDescent="0.25">
      <c r="A267" s="1" t="s">
        <v>24</v>
      </c>
      <c r="B267" s="1">
        <v>2</v>
      </c>
      <c r="C267" s="1">
        <v>1</v>
      </c>
      <c r="D267" s="1"/>
      <c r="E267" s="1">
        <v>1</v>
      </c>
      <c r="F267" s="1">
        <v>1</v>
      </c>
      <c r="G267" s="1">
        <v>1</v>
      </c>
      <c r="H267" s="1">
        <v>0</v>
      </c>
      <c r="I267" s="1">
        <v>1</v>
      </c>
    </row>
    <row r="268" spans="1:9" s="7" customFormat="1" x14ac:dyDescent="0.25">
      <c r="A268" s="1" t="s">
        <v>26</v>
      </c>
      <c r="B268" s="1">
        <v>1</v>
      </c>
      <c r="C268" s="1">
        <v>0</v>
      </c>
      <c r="D268" s="1"/>
      <c r="E268" s="1">
        <v>1</v>
      </c>
      <c r="F268" s="1"/>
      <c r="G268" s="1">
        <v>0</v>
      </c>
      <c r="H268" s="1">
        <v>0</v>
      </c>
      <c r="I268" s="1">
        <v>1</v>
      </c>
    </row>
    <row r="269" spans="1:9" s="7" customFormat="1" x14ac:dyDescent="0.25">
      <c r="A269" s="1" t="s">
        <v>7</v>
      </c>
      <c r="B269" s="1">
        <v>5</v>
      </c>
      <c r="C269" s="1">
        <v>5</v>
      </c>
      <c r="D269" s="1">
        <v>0</v>
      </c>
      <c r="E269" s="1">
        <v>2</v>
      </c>
      <c r="F269" s="1">
        <v>3</v>
      </c>
      <c r="G269" s="1">
        <v>1</v>
      </c>
      <c r="H269" s="1">
        <v>3</v>
      </c>
      <c r="I269" s="1">
        <v>6</v>
      </c>
    </row>
    <row r="270" spans="1:9" s="7" customFormat="1" x14ac:dyDescent="0.25">
      <c r="A270" s="1" t="s">
        <v>10</v>
      </c>
      <c r="B270" s="1"/>
      <c r="C270" s="1"/>
      <c r="D270" s="1"/>
      <c r="E270" s="1"/>
      <c r="F270" s="1">
        <v>0</v>
      </c>
      <c r="G270" s="1"/>
      <c r="H270" s="1">
        <v>0</v>
      </c>
      <c r="I270" s="1">
        <v>0</v>
      </c>
    </row>
    <row r="271" spans="1:9" s="7" customFormat="1" x14ac:dyDescent="0.25"/>
    <row r="272" spans="1:9" s="7" customFormat="1" x14ac:dyDescent="0.25"/>
    <row r="273" spans="1:9" s="7" customFormat="1" x14ac:dyDescent="0.25">
      <c r="A273" s="3" t="s">
        <v>195</v>
      </c>
      <c r="B273" s="1"/>
      <c r="C273" s="1"/>
      <c r="D273" s="1"/>
      <c r="E273" s="1"/>
      <c r="F273" s="1"/>
      <c r="G273" s="1"/>
      <c r="H273" s="1"/>
      <c r="I273" s="1"/>
    </row>
    <row r="274" spans="1:9" s="7" customFormat="1" x14ac:dyDescent="0.25">
      <c r="A274" s="1"/>
      <c r="B274" t="s">
        <v>14</v>
      </c>
      <c r="C274" t="s">
        <v>17</v>
      </c>
      <c r="D274" t="s">
        <v>21</v>
      </c>
      <c r="E274" t="s">
        <v>25</v>
      </c>
      <c r="F274" t="s">
        <v>13</v>
      </c>
      <c r="G274" t="s">
        <v>19</v>
      </c>
      <c r="H274" t="s">
        <v>20</v>
      </c>
      <c r="I274" t="s">
        <v>2</v>
      </c>
    </row>
    <row r="275" spans="1:9" s="7" customFormat="1" x14ac:dyDescent="0.25">
      <c r="A275" s="1" t="s">
        <v>3</v>
      </c>
      <c r="B275" s="1">
        <v>7</v>
      </c>
      <c r="C275" s="1">
        <v>7</v>
      </c>
      <c r="D275" s="1">
        <v>3</v>
      </c>
      <c r="E275" s="1">
        <v>5</v>
      </c>
      <c r="F275" s="1">
        <v>6</v>
      </c>
      <c r="G275" s="1">
        <v>5</v>
      </c>
      <c r="H275" s="1">
        <v>6</v>
      </c>
      <c r="I275" s="1">
        <v>6</v>
      </c>
    </row>
    <row r="276" spans="1:9" s="7" customFormat="1" x14ac:dyDescent="0.25">
      <c r="A276" s="1" t="s">
        <v>18</v>
      </c>
      <c r="B276" s="1">
        <v>1</v>
      </c>
      <c r="C276" s="1">
        <v>3</v>
      </c>
      <c r="D276" s="1">
        <v>3</v>
      </c>
      <c r="E276" s="1">
        <v>1</v>
      </c>
      <c r="F276" s="1"/>
      <c r="G276" s="1"/>
      <c r="H276" s="1"/>
      <c r="I276" s="1">
        <v>1</v>
      </c>
    </row>
    <row r="277" spans="1:9" x14ac:dyDescent="0.25">
      <c r="A277" s="1" t="s">
        <v>16</v>
      </c>
      <c r="B277" s="1">
        <v>5</v>
      </c>
      <c r="C277" s="1">
        <v>7</v>
      </c>
      <c r="D277" s="1">
        <v>3</v>
      </c>
      <c r="E277" s="1">
        <v>6</v>
      </c>
      <c r="F277" s="1">
        <v>4</v>
      </c>
      <c r="G277" s="1">
        <v>4</v>
      </c>
      <c r="H277" s="1">
        <v>4</v>
      </c>
      <c r="I277" s="1">
        <v>6</v>
      </c>
    </row>
    <row r="278" spans="1:9" x14ac:dyDescent="0.25">
      <c r="A278" s="1" t="s">
        <v>22</v>
      </c>
      <c r="B278" s="1">
        <v>5</v>
      </c>
      <c r="C278" s="1">
        <v>6</v>
      </c>
      <c r="D278" s="1">
        <v>3</v>
      </c>
      <c r="E278" s="1">
        <v>4</v>
      </c>
      <c r="F278" s="1">
        <v>4</v>
      </c>
      <c r="G278" s="1">
        <v>6</v>
      </c>
      <c r="H278" s="1">
        <v>5</v>
      </c>
      <c r="I278" s="1">
        <v>6</v>
      </c>
    </row>
    <row r="279" spans="1:9" x14ac:dyDescent="0.25">
      <c r="A279" s="1" t="s">
        <v>4</v>
      </c>
      <c r="B279" s="1">
        <v>7</v>
      </c>
      <c r="C279" s="1">
        <v>8</v>
      </c>
      <c r="D279" s="1">
        <v>3</v>
      </c>
      <c r="E279" s="1">
        <v>6</v>
      </c>
      <c r="F279" s="1">
        <v>6</v>
      </c>
      <c r="G279" s="1">
        <v>5</v>
      </c>
      <c r="H279" s="1">
        <v>6</v>
      </c>
      <c r="I279" s="1">
        <v>8</v>
      </c>
    </row>
    <row r="280" spans="1:9" s="10" customFormat="1" x14ac:dyDescent="0.25">
      <c r="A280" s="1" t="s">
        <v>6</v>
      </c>
      <c r="B280" s="1">
        <v>6</v>
      </c>
      <c r="C280" s="1">
        <v>6</v>
      </c>
      <c r="D280" s="1">
        <v>2</v>
      </c>
      <c r="E280" s="1">
        <v>4</v>
      </c>
      <c r="F280" s="1">
        <v>6</v>
      </c>
      <c r="G280" s="1">
        <v>6</v>
      </c>
      <c r="H280" s="1">
        <v>5</v>
      </c>
      <c r="I280" s="1">
        <v>7</v>
      </c>
    </row>
    <row r="281" spans="1:9" x14ac:dyDescent="0.25">
      <c r="A281" s="1" t="s">
        <v>5</v>
      </c>
      <c r="B281" s="1">
        <v>8</v>
      </c>
      <c r="C281" s="1">
        <v>8</v>
      </c>
      <c r="D281" s="1">
        <v>3</v>
      </c>
      <c r="E281" s="1">
        <v>5</v>
      </c>
      <c r="F281" s="1">
        <v>5</v>
      </c>
      <c r="G281" s="1">
        <v>6</v>
      </c>
      <c r="H281" s="1">
        <v>5</v>
      </c>
      <c r="I281" s="1">
        <v>7</v>
      </c>
    </row>
    <row r="282" spans="1:9" x14ac:dyDescent="0.25">
      <c r="A282" s="1" t="s">
        <v>8</v>
      </c>
      <c r="B282" s="1">
        <v>6</v>
      </c>
      <c r="C282" s="1">
        <v>5</v>
      </c>
      <c r="D282" s="1">
        <v>1</v>
      </c>
      <c r="E282" s="1">
        <v>5</v>
      </c>
      <c r="F282" s="1">
        <v>2</v>
      </c>
      <c r="G282" s="1">
        <v>3</v>
      </c>
      <c r="H282" s="1">
        <v>3</v>
      </c>
      <c r="I282" s="1">
        <v>5</v>
      </c>
    </row>
    <row r="283" spans="1:9" x14ac:dyDescent="0.25">
      <c r="A283" s="1" t="s">
        <v>12</v>
      </c>
      <c r="B283" s="1">
        <v>7</v>
      </c>
      <c r="C283" s="1">
        <v>7</v>
      </c>
      <c r="D283" s="1">
        <v>3</v>
      </c>
      <c r="E283" s="1">
        <v>6</v>
      </c>
      <c r="F283" s="1">
        <v>5</v>
      </c>
      <c r="G283" s="1">
        <v>6</v>
      </c>
      <c r="H283" s="1">
        <v>6</v>
      </c>
      <c r="I283" s="1">
        <v>8</v>
      </c>
    </row>
    <row r="284" spans="1:9" x14ac:dyDescent="0.25">
      <c r="A284" s="2" t="s">
        <v>23</v>
      </c>
      <c r="B284" s="1">
        <v>5</v>
      </c>
      <c r="C284" s="1">
        <v>3</v>
      </c>
      <c r="D284" s="1">
        <v>3</v>
      </c>
      <c r="E284" s="1">
        <v>4</v>
      </c>
      <c r="F284" s="1">
        <v>5</v>
      </c>
      <c r="G284" s="1">
        <v>2</v>
      </c>
      <c r="H284" s="1">
        <v>3</v>
      </c>
      <c r="I284" s="1">
        <v>4</v>
      </c>
    </row>
    <row r="285" spans="1:9" x14ac:dyDescent="0.25">
      <c r="A285" s="2" t="s">
        <v>11</v>
      </c>
      <c r="B285" s="1">
        <v>5</v>
      </c>
      <c r="C285" s="1">
        <v>4</v>
      </c>
      <c r="D285" s="1">
        <v>2</v>
      </c>
      <c r="E285" s="1">
        <v>2</v>
      </c>
      <c r="F285" s="1">
        <v>5</v>
      </c>
      <c r="G285" s="1">
        <v>3</v>
      </c>
      <c r="H285" s="1">
        <v>3</v>
      </c>
      <c r="I285" s="1">
        <v>2</v>
      </c>
    </row>
    <row r="286" spans="1:9" x14ac:dyDescent="0.25">
      <c r="A286" s="1" t="s">
        <v>9</v>
      </c>
      <c r="B286" s="1">
        <v>4</v>
      </c>
      <c r="C286" s="1">
        <v>3</v>
      </c>
      <c r="E286" s="1">
        <v>3</v>
      </c>
      <c r="F286" s="1">
        <v>2</v>
      </c>
      <c r="G286" s="1">
        <v>2</v>
      </c>
      <c r="H286" s="1">
        <v>3</v>
      </c>
      <c r="I286" s="1">
        <v>7</v>
      </c>
    </row>
    <row r="287" spans="1:9" x14ac:dyDescent="0.25">
      <c r="A287" s="1" t="s">
        <v>24</v>
      </c>
      <c r="B287" s="1">
        <v>4</v>
      </c>
      <c r="C287" s="1">
        <v>3</v>
      </c>
      <c r="E287" s="1">
        <v>2</v>
      </c>
      <c r="F287" s="1">
        <v>1</v>
      </c>
      <c r="G287" s="1">
        <v>3</v>
      </c>
      <c r="H287" s="1">
        <v>3</v>
      </c>
      <c r="I287" s="1">
        <v>3</v>
      </c>
    </row>
    <row r="288" spans="1:9" x14ac:dyDescent="0.25">
      <c r="A288" s="1" t="s">
        <v>26</v>
      </c>
      <c r="B288" s="1">
        <v>1</v>
      </c>
      <c r="C288" s="1">
        <v>1</v>
      </c>
      <c r="E288" s="1">
        <v>1</v>
      </c>
      <c r="G288" s="1">
        <v>1</v>
      </c>
      <c r="H288" s="1">
        <v>2</v>
      </c>
      <c r="I288" s="1">
        <v>1</v>
      </c>
    </row>
    <row r="289" spans="1:9" x14ac:dyDescent="0.25">
      <c r="A289" s="1" t="s">
        <v>7</v>
      </c>
      <c r="B289" s="1">
        <v>5</v>
      </c>
      <c r="C289" s="1">
        <v>5</v>
      </c>
      <c r="D289" s="1">
        <v>1</v>
      </c>
      <c r="E289" s="1">
        <v>4</v>
      </c>
      <c r="F289" s="1">
        <v>5</v>
      </c>
      <c r="G289" s="1">
        <v>4</v>
      </c>
      <c r="H289" s="1">
        <v>3</v>
      </c>
      <c r="I289" s="1">
        <v>7</v>
      </c>
    </row>
    <row r="290" spans="1:9" x14ac:dyDescent="0.25">
      <c r="A290" s="1" t="s">
        <v>10</v>
      </c>
      <c r="F290" s="1">
        <v>2</v>
      </c>
      <c r="H290" s="1">
        <v>1</v>
      </c>
      <c r="I290" s="1">
        <v>1</v>
      </c>
    </row>
    <row r="293" spans="1:9" x14ac:dyDescent="0.25">
      <c r="A293" s="3" t="s">
        <v>45</v>
      </c>
    </row>
    <row r="294" spans="1:9" x14ac:dyDescent="0.25">
      <c r="B294" t="s">
        <v>14</v>
      </c>
      <c r="C294" t="s">
        <v>17</v>
      </c>
      <c r="D294" t="s">
        <v>21</v>
      </c>
      <c r="E294" t="s">
        <v>25</v>
      </c>
      <c r="F294" t="s">
        <v>13</v>
      </c>
      <c r="G294" t="s">
        <v>19</v>
      </c>
      <c r="H294" t="s">
        <v>20</v>
      </c>
      <c r="I294" t="s">
        <v>2</v>
      </c>
    </row>
    <row r="295" spans="1:9" x14ac:dyDescent="0.25">
      <c r="A295" s="1" t="s">
        <v>3</v>
      </c>
      <c r="B295" s="7">
        <v>0.7142857142857143</v>
      </c>
      <c r="C295" s="7">
        <v>0.5714285714285714</v>
      </c>
      <c r="D295" s="7">
        <v>0.66666666666666663</v>
      </c>
      <c r="E295" s="7">
        <v>0.2</v>
      </c>
      <c r="F295" s="7">
        <v>0.66666666666666663</v>
      </c>
      <c r="G295" s="7">
        <v>0.4</v>
      </c>
      <c r="H295" s="7">
        <v>0.66666666666666663</v>
      </c>
      <c r="I295" s="7">
        <v>0.5</v>
      </c>
    </row>
    <row r="296" spans="1:9" x14ac:dyDescent="0.25">
      <c r="A296" s="1" t="s">
        <v>18</v>
      </c>
      <c r="B296" s="7">
        <v>1</v>
      </c>
      <c r="C296" s="7">
        <v>0.33333333333333331</v>
      </c>
      <c r="D296" s="7">
        <v>0.33333333333333331</v>
      </c>
      <c r="E296" s="7">
        <v>0</v>
      </c>
      <c r="F296" s="7"/>
      <c r="G296" s="7"/>
      <c r="H296" s="7"/>
      <c r="I296" s="7">
        <v>0</v>
      </c>
    </row>
    <row r="297" spans="1:9" x14ac:dyDescent="0.25">
      <c r="A297" s="1" t="s">
        <v>16</v>
      </c>
      <c r="B297" s="7">
        <v>0.2</v>
      </c>
      <c r="C297" s="7">
        <v>0.7142857142857143</v>
      </c>
      <c r="D297" s="7">
        <v>0.66666666666666663</v>
      </c>
      <c r="E297" s="7">
        <v>0.16666666666666666</v>
      </c>
      <c r="F297" s="7">
        <v>0.75</v>
      </c>
      <c r="G297" s="7">
        <v>0.25</v>
      </c>
      <c r="H297" s="7">
        <v>0.25</v>
      </c>
      <c r="I297" s="7">
        <v>0.5</v>
      </c>
    </row>
    <row r="298" spans="1:9" x14ac:dyDescent="0.25">
      <c r="A298" s="1" t="s">
        <v>22</v>
      </c>
      <c r="B298" s="7">
        <v>0.4</v>
      </c>
      <c r="C298" s="7">
        <v>0.5</v>
      </c>
      <c r="D298" s="7">
        <v>0</v>
      </c>
      <c r="E298" s="7">
        <v>0.5</v>
      </c>
      <c r="F298" s="7">
        <v>0.5</v>
      </c>
      <c r="G298" s="7">
        <v>0.66666666666666663</v>
      </c>
      <c r="H298" s="7">
        <v>0.8</v>
      </c>
      <c r="I298" s="7">
        <v>0.16666666666666666</v>
      </c>
    </row>
    <row r="299" spans="1:9" x14ac:dyDescent="0.25">
      <c r="A299" s="1" t="s">
        <v>4</v>
      </c>
      <c r="B299" s="7">
        <v>0.42857142857142855</v>
      </c>
      <c r="C299" s="7">
        <v>0.625</v>
      </c>
      <c r="D299" s="7">
        <v>1</v>
      </c>
      <c r="E299" s="7">
        <v>0.5</v>
      </c>
      <c r="F299" s="7">
        <v>0.66666666666666663</v>
      </c>
      <c r="G299" s="7">
        <v>0.6</v>
      </c>
      <c r="H299" s="7">
        <v>0.5</v>
      </c>
      <c r="I299" s="7">
        <v>0.625</v>
      </c>
    </row>
    <row r="300" spans="1:9" s="10" customFormat="1" x14ac:dyDescent="0.25">
      <c r="A300" s="1" t="s">
        <v>6</v>
      </c>
      <c r="B300" s="7">
        <v>0.5</v>
      </c>
      <c r="C300" s="7">
        <v>0.5</v>
      </c>
      <c r="D300" s="7">
        <v>0.5</v>
      </c>
      <c r="E300" s="7">
        <v>1</v>
      </c>
      <c r="F300" s="7">
        <v>0.66666666666666663</v>
      </c>
      <c r="G300" s="7">
        <v>0.83333333333333337</v>
      </c>
      <c r="H300" s="7">
        <v>0.4</v>
      </c>
      <c r="I300" s="7">
        <v>0.2857142857142857</v>
      </c>
    </row>
    <row r="301" spans="1:9" x14ac:dyDescent="0.25">
      <c r="A301" s="1" t="s">
        <v>5</v>
      </c>
      <c r="B301" s="7">
        <v>0.25</v>
      </c>
      <c r="C301" s="7">
        <v>0.5</v>
      </c>
      <c r="D301" s="7">
        <v>1</v>
      </c>
      <c r="E301" s="7">
        <v>0.4</v>
      </c>
      <c r="F301" s="7">
        <v>0.6</v>
      </c>
      <c r="G301" s="7">
        <v>0.5</v>
      </c>
      <c r="H301" s="7">
        <v>0.4</v>
      </c>
      <c r="I301" s="7">
        <v>0.7142857142857143</v>
      </c>
    </row>
    <row r="302" spans="1:9" x14ac:dyDescent="0.25">
      <c r="A302" s="1" t="s">
        <v>8</v>
      </c>
      <c r="B302" s="7">
        <v>0.5</v>
      </c>
      <c r="C302" s="7">
        <v>0.4</v>
      </c>
      <c r="D302" s="7">
        <v>1</v>
      </c>
      <c r="E302" s="7">
        <v>0.6</v>
      </c>
      <c r="F302" s="7">
        <v>0</v>
      </c>
      <c r="G302" s="7">
        <v>0.33333333333333331</v>
      </c>
      <c r="H302" s="7">
        <v>0.33333333333333331</v>
      </c>
      <c r="I302" s="7">
        <v>0.6</v>
      </c>
    </row>
    <row r="303" spans="1:9" x14ac:dyDescent="0.25">
      <c r="A303" s="1" t="s">
        <v>12</v>
      </c>
      <c r="B303" s="7">
        <v>0.5714285714285714</v>
      </c>
      <c r="C303" s="7">
        <v>0.42857142857142855</v>
      </c>
      <c r="D303" s="7">
        <v>0.33333333333333331</v>
      </c>
      <c r="E303" s="7">
        <v>0.5</v>
      </c>
      <c r="F303" s="7">
        <v>0.2</v>
      </c>
      <c r="G303" s="7">
        <v>0.5</v>
      </c>
      <c r="H303" s="7">
        <v>0.83333333333333337</v>
      </c>
      <c r="I303" s="7">
        <v>0.5</v>
      </c>
    </row>
    <row r="304" spans="1:9" x14ac:dyDescent="0.25">
      <c r="A304" s="2" t="s">
        <v>23</v>
      </c>
      <c r="B304" s="7">
        <v>0.6</v>
      </c>
      <c r="C304" s="7">
        <v>0.33333333333333331</v>
      </c>
      <c r="D304" s="7">
        <v>0</v>
      </c>
      <c r="E304" s="7">
        <v>0.5</v>
      </c>
      <c r="F304" s="7">
        <v>0.6</v>
      </c>
      <c r="G304" s="7">
        <v>0.5</v>
      </c>
      <c r="H304" s="7">
        <v>0</v>
      </c>
      <c r="I304" s="7">
        <v>0.5</v>
      </c>
    </row>
    <row r="305" spans="1:9" x14ac:dyDescent="0.25">
      <c r="A305" s="2" t="s">
        <v>11</v>
      </c>
      <c r="B305" s="7">
        <v>0.4</v>
      </c>
      <c r="C305" s="7">
        <v>0.25</v>
      </c>
      <c r="D305" s="7">
        <v>0.5</v>
      </c>
      <c r="E305" s="7">
        <v>1</v>
      </c>
      <c r="F305" s="7">
        <v>0.4</v>
      </c>
      <c r="G305" s="7">
        <v>1</v>
      </c>
      <c r="H305" s="7">
        <v>1</v>
      </c>
      <c r="I305" s="7">
        <v>0.5</v>
      </c>
    </row>
    <row r="306" spans="1:9" x14ac:dyDescent="0.25">
      <c r="A306" s="1" t="s">
        <v>9</v>
      </c>
      <c r="B306" s="7">
        <v>0.25</v>
      </c>
      <c r="C306" s="7">
        <v>0.33333333333333331</v>
      </c>
      <c r="D306" s="7"/>
      <c r="E306" s="7">
        <v>0.33333333333333331</v>
      </c>
      <c r="F306" s="7">
        <v>0</v>
      </c>
      <c r="G306" s="7">
        <v>1</v>
      </c>
      <c r="H306" s="7">
        <v>0.33333333333333331</v>
      </c>
      <c r="I306" s="7">
        <v>0.2857142857142857</v>
      </c>
    </row>
    <row r="307" spans="1:9" x14ac:dyDescent="0.25">
      <c r="A307" s="1" t="s">
        <v>24</v>
      </c>
      <c r="B307" s="7">
        <v>0.5</v>
      </c>
      <c r="C307" s="7">
        <v>0.33333333333333331</v>
      </c>
      <c r="D307" s="7"/>
      <c r="E307" s="7">
        <v>0.5</v>
      </c>
      <c r="F307" s="7">
        <v>1</v>
      </c>
      <c r="G307" s="7">
        <v>0.33333333333333331</v>
      </c>
      <c r="H307" s="7">
        <v>0</v>
      </c>
      <c r="I307" s="7">
        <v>0.33333333333333331</v>
      </c>
    </row>
    <row r="308" spans="1:9" x14ac:dyDescent="0.25">
      <c r="A308" s="1" t="s">
        <v>26</v>
      </c>
      <c r="B308" s="7">
        <v>1</v>
      </c>
      <c r="C308" s="7">
        <v>0</v>
      </c>
      <c r="D308" s="7"/>
      <c r="E308" s="7">
        <v>1</v>
      </c>
      <c r="F308" s="7"/>
      <c r="G308" s="7">
        <v>0</v>
      </c>
      <c r="H308" s="7">
        <v>0</v>
      </c>
      <c r="I308" s="7">
        <v>1</v>
      </c>
    </row>
    <row r="309" spans="1:9" x14ac:dyDescent="0.25">
      <c r="A309" s="1" t="s">
        <v>7</v>
      </c>
      <c r="B309" s="7">
        <v>1</v>
      </c>
      <c r="C309" s="7">
        <v>1</v>
      </c>
      <c r="D309" s="7">
        <v>0</v>
      </c>
      <c r="E309" s="7">
        <v>0.5</v>
      </c>
      <c r="F309" s="7">
        <v>0.6</v>
      </c>
      <c r="G309" s="7">
        <v>0.25</v>
      </c>
      <c r="H309" s="7">
        <v>1</v>
      </c>
      <c r="I309" s="7">
        <v>0.8571428571428571</v>
      </c>
    </row>
    <row r="310" spans="1:9" x14ac:dyDescent="0.25">
      <c r="A310" s="1" t="s">
        <v>10</v>
      </c>
      <c r="B310" s="7"/>
      <c r="C310" s="7"/>
      <c r="D310" s="7"/>
      <c r="E310" s="7"/>
      <c r="F310" s="7">
        <v>0</v>
      </c>
      <c r="G310" s="7"/>
      <c r="H310" s="7">
        <v>0</v>
      </c>
      <c r="I310" s="7">
        <v>0</v>
      </c>
    </row>
    <row r="313" spans="1:9" x14ac:dyDescent="0.25">
      <c r="A313" s="33" t="s">
        <v>196</v>
      </c>
      <c r="B313" s="28"/>
      <c r="C313" s="28"/>
      <c r="D313" s="28"/>
      <c r="E313" s="28"/>
      <c r="F313" s="28"/>
      <c r="G313" s="28"/>
    </row>
    <row r="314" spans="1:9" x14ac:dyDescent="0.25">
      <c r="A314" s="28" t="s">
        <v>97</v>
      </c>
      <c r="B314" s="28" t="s">
        <v>169</v>
      </c>
      <c r="C314" s="28" t="s">
        <v>171</v>
      </c>
      <c r="D314" s="28" t="s">
        <v>165</v>
      </c>
      <c r="E314" s="28" t="s">
        <v>176</v>
      </c>
      <c r="F314" s="28" t="s">
        <v>174</v>
      </c>
      <c r="G314" s="28" t="s">
        <v>168</v>
      </c>
    </row>
    <row r="315" spans="1:9" x14ac:dyDescent="0.25">
      <c r="A315" s="28" t="s">
        <v>100</v>
      </c>
      <c r="B315" s="28" t="s">
        <v>181</v>
      </c>
      <c r="C315" s="28" t="s">
        <v>173</v>
      </c>
      <c r="D315" s="28" t="s">
        <v>175</v>
      </c>
      <c r="E315" s="28" t="s">
        <v>166</v>
      </c>
      <c r="F315" s="28" t="s">
        <v>178</v>
      </c>
      <c r="G315" s="28"/>
    </row>
    <row r="316" spans="1:9" x14ac:dyDescent="0.25">
      <c r="A316" s="28" t="s">
        <v>95</v>
      </c>
      <c r="B316" s="28" t="s">
        <v>164</v>
      </c>
      <c r="C316" s="28" t="s">
        <v>167</v>
      </c>
      <c r="D316" s="28" t="s">
        <v>170</v>
      </c>
      <c r="E316" s="28" t="s">
        <v>177</v>
      </c>
      <c r="F316" s="28" t="s">
        <v>162</v>
      </c>
      <c r="G316" s="28"/>
    </row>
    <row r="317" spans="1:9" x14ac:dyDescent="0.25">
      <c r="A317" s="28" t="s">
        <v>96</v>
      </c>
      <c r="B317" s="28" t="s">
        <v>172</v>
      </c>
      <c r="C317" s="28" t="s">
        <v>180</v>
      </c>
      <c r="D317" s="28" t="s">
        <v>179</v>
      </c>
      <c r="E317" s="28" t="s">
        <v>163</v>
      </c>
      <c r="F317" s="28"/>
      <c r="G317" s="28"/>
    </row>
    <row r="320" spans="1:9" x14ac:dyDescent="0.25">
      <c r="A320" s="4" t="s">
        <v>197</v>
      </c>
    </row>
    <row r="321" spans="1:6" x14ac:dyDescent="0.25">
      <c r="A321"/>
      <c r="B321" t="s">
        <v>97</v>
      </c>
      <c r="C321" t="s">
        <v>100</v>
      </c>
      <c r="D321" t="s">
        <v>95</v>
      </c>
      <c r="E321" t="s">
        <v>96</v>
      </c>
    </row>
    <row r="322" spans="1:6" x14ac:dyDescent="0.25">
      <c r="A322" s="12" t="s">
        <v>3</v>
      </c>
      <c r="B322" s="30">
        <v>21</v>
      </c>
      <c r="C322" s="30">
        <v>8</v>
      </c>
      <c r="D322" s="30">
        <v>6</v>
      </c>
      <c r="E322" s="30">
        <v>10</v>
      </c>
      <c r="F322" s="13">
        <f>SUM(B322:E322)</f>
        <v>45</v>
      </c>
    </row>
    <row r="323" spans="1:6" x14ac:dyDescent="0.25">
      <c r="A323" s="12" t="s">
        <v>18</v>
      </c>
      <c r="B323" s="30">
        <v>0</v>
      </c>
      <c r="C323" s="30">
        <v>0</v>
      </c>
      <c r="D323" s="30">
        <v>9</v>
      </c>
      <c r="E323" s="30">
        <v>0</v>
      </c>
      <c r="F323" s="13">
        <f t="shared" ref="F323:F337" si="20">SUM(B323:E323)</f>
        <v>9</v>
      </c>
    </row>
    <row r="324" spans="1:6" x14ac:dyDescent="0.25">
      <c r="A324" s="12" t="s">
        <v>16</v>
      </c>
      <c r="B324" s="30">
        <v>3</v>
      </c>
      <c r="C324" s="30">
        <v>0</v>
      </c>
      <c r="D324" s="30">
        <v>0</v>
      </c>
      <c r="E324" s="30">
        <v>36</v>
      </c>
      <c r="F324" s="13">
        <f t="shared" si="20"/>
        <v>39</v>
      </c>
    </row>
    <row r="325" spans="1:6" x14ac:dyDescent="0.25">
      <c r="A325" s="12" t="s">
        <v>22</v>
      </c>
      <c r="B325" s="30">
        <v>6</v>
      </c>
      <c r="C325" s="30">
        <v>8</v>
      </c>
      <c r="D325" s="30">
        <v>21</v>
      </c>
      <c r="E325" s="30">
        <v>4</v>
      </c>
      <c r="F325" s="13">
        <f t="shared" si="20"/>
        <v>39</v>
      </c>
    </row>
    <row r="326" spans="1:6" x14ac:dyDescent="0.25">
      <c r="A326" s="12" t="s">
        <v>4</v>
      </c>
      <c r="B326" s="30">
        <v>15</v>
      </c>
      <c r="C326" s="30">
        <v>4</v>
      </c>
      <c r="D326" s="30">
        <v>7</v>
      </c>
      <c r="E326" s="30">
        <v>23</v>
      </c>
      <c r="F326" s="13">
        <f t="shared" si="20"/>
        <v>49</v>
      </c>
    </row>
    <row r="327" spans="1:6" x14ac:dyDescent="0.25">
      <c r="A327" s="12" t="s">
        <v>6</v>
      </c>
      <c r="B327" s="30">
        <v>4</v>
      </c>
      <c r="C327" s="30">
        <v>12</v>
      </c>
      <c r="D327" s="30">
        <v>9</v>
      </c>
      <c r="E327" s="30">
        <v>17</v>
      </c>
      <c r="F327" s="13">
        <f t="shared" si="20"/>
        <v>42</v>
      </c>
    </row>
    <row r="328" spans="1:6" x14ac:dyDescent="0.25">
      <c r="A328" s="12" t="s">
        <v>5</v>
      </c>
      <c r="B328" s="30">
        <v>2</v>
      </c>
      <c r="C328" s="30">
        <v>18</v>
      </c>
      <c r="D328" s="30">
        <v>23</v>
      </c>
      <c r="E328" s="30">
        <v>4</v>
      </c>
      <c r="F328" s="13">
        <f t="shared" si="20"/>
        <v>47</v>
      </c>
    </row>
    <row r="329" spans="1:6" x14ac:dyDescent="0.25">
      <c r="A329" s="12" t="s">
        <v>8</v>
      </c>
      <c r="B329" s="30">
        <v>18</v>
      </c>
      <c r="C329" s="30">
        <v>3</v>
      </c>
      <c r="D329" s="30">
        <v>6</v>
      </c>
      <c r="E329" s="30">
        <v>3</v>
      </c>
      <c r="F329" s="13">
        <f t="shared" si="20"/>
        <v>30</v>
      </c>
    </row>
    <row r="330" spans="1:6" x14ac:dyDescent="0.25">
      <c r="A330" s="12" t="s">
        <v>12</v>
      </c>
      <c r="B330" s="30">
        <v>40</v>
      </c>
      <c r="C330" s="30">
        <v>3</v>
      </c>
      <c r="D330" s="30">
        <v>3</v>
      </c>
      <c r="E330" s="30">
        <v>2</v>
      </c>
      <c r="F330" s="13">
        <f t="shared" si="20"/>
        <v>48</v>
      </c>
    </row>
    <row r="331" spans="1:6" x14ac:dyDescent="0.25">
      <c r="A331" s="12" t="s">
        <v>23</v>
      </c>
      <c r="B331" s="30">
        <v>13</v>
      </c>
      <c r="C331" s="30">
        <v>2</v>
      </c>
      <c r="D331" s="30">
        <v>4</v>
      </c>
      <c r="E331" s="30">
        <v>10</v>
      </c>
      <c r="F331" s="13">
        <f t="shared" si="20"/>
        <v>29</v>
      </c>
    </row>
    <row r="332" spans="1:6" x14ac:dyDescent="0.25">
      <c r="A332" s="12" t="s">
        <v>11</v>
      </c>
      <c r="B332" s="30">
        <v>0</v>
      </c>
      <c r="C332" s="30">
        <v>22</v>
      </c>
      <c r="D332" s="30">
        <v>1</v>
      </c>
      <c r="E332" s="30">
        <v>3</v>
      </c>
      <c r="F332" s="13">
        <f t="shared" si="20"/>
        <v>26</v>
      </c>
    </row>
    <row r="333" spans="1:6" x14ac:dyDescent="0.25">
      <c r="A333" s="12" t="s">
        <v>9</v>
      </c>
      <c r="B333" s="30">
        <v>13</v>
      </c>
      <c r="C333" s="30">
        <v>5</v>
      </c>
      <c r="D333" s="30">
        <v>3</v>
      </c>
      <c r="E333" s="30">
        <v>3</v>
      </c>
      <c r="F333" s="13">
        <f t="shared" si="20"/>
        <v>24</v>
      </c>
    </row>
    <row r="334" spans="1:6" x14ac:dyDescent="0.25">
      <c r="A334" s="12" t="s">
        <v>24</v>
      </c>
      <c r="B334" s="30">
        <v>3</v>
      </c>
      <c r="C334" s="30">
        <v>6</v>
      </c>
      <c r="D334" s="30">
        <v>2</v>
      </c>
      <c r="E334" s="30">
        <v>8</v>
      </c>
      <c r="F334" s="13">
        <f t="shared" si="20"/>
        <v>19</v>
      </c>
    </row>
    <row r="335" spans="1:6" x14ac:dyDescent="0.25">
      <c r="A335" s="12" t="s">
        <v>26</v>
      </c>
      <c r="B335" s="30">
        <v>0</v>
      </c>
      <c r="C335" s="30">
        <v>3</v>
      </c>
      <c r="D335" s="30">
        <v>3</v>
      </c>
      <c r="E335" s="30">
        <v>1</v>
      </c>
      <c r="F335" s="13">
        <f t="shared" si="20"/>
        <v>7</v>
      </c>
    </row>
    <row r="336" spans="1:6" x14ac:dyDescent="0.25">
      <c r="A336" s="12" t="s">
        <v>7</v>
      </c>
      <c r="B336" s="30">
        <v>13</v>
      </c>
      <c r="C336" s="30">
        <v>2</v>
      </c>
      <c r="D336" s="30">
        <v>18</v>
      </c>
      <c r="E336" s="30">
        <v>1</v>
      </c>
      <c r="F336" s="13">
        <f t="shared" si="20"/>
        <v>34</v>
      </c>
    </row>
    <row r="337" spans="1:25" x14ac:dyDescent="0.25">
      <c r="A337" s="12" t="s">
        <v>10</v>
      </c>
      <c r="B337" s="30">
        <v>0</v>
      </c>
      <c r="C337" s="30">
        <v>1</v>
      </c>
      <c r="D337" s="30">
        <v>0</v>
      </c>
      <c r="E337" s="30">
        <v>3</v>
      </c>
      <c r="F337" s="13">
        <f t="shared" si="20"/>
        <v>4</v>
      </c>
    </row>
    <row r="338" spans="1:25" x14ac:dyDescent="0.25">
      <c r="B338" s="13"/>
      <c r="C338" s="13"/>
      <c r="D338" s="13"/>
      <c r="E338" s="13"/>
    </row>
    <row r="340" spans="1:25" x14ac:dyDescent="0.25">
      <c r="A340" s="4" t="s">
        <v>198</v>
      </c>
    </row>
    <row r="341" spans="1:25" x14ac:dyDescent="0.25">
      <c r="A341"/>
      <c r="B341" t="s">
        <v>97</v>
      </c>
      <c r="C341" t="s">
        <v>100</v>
      </c>
      <c r="D341" t="s">
        <v>95</v>
      </c>
      <c r="E341" t="s">
        <v>96</v>
      </c>
      <c r="J341"/>
      <c r="L341"/>
    </row>
    <row r="342" spans="1:25" x14ac:dyDescent="0.25">
      <c r="A342" s="12" t="s">
        <v>3</v>
      </c>
      <c r="B342" s="6">
        <v>0.46666666666666667</v>
      </c>
      <c r="C342" s="6">
        <v>0.17777777777777778</v>
      </c>
      <c r="D342" s="6">
        <v>0.13333333333333333</v>
      </c>
      <c r="E342" s="6">
        <v>0.22222222222222221</v>
      </c>
      <c r="J342"/>
      <c r="L342"/>
    </row>
    <row r="343" spans="1:25" x14ac:dyDescent="0.25">
      <c r="A343" s="12" t="s">
        <v>18</v>
      </c>
      <c r="B343" s="6">
        <v>0</v>
      </c>
      <c r="C343" s="6">
        <v>0</v>
      </c>
      <c r="D343" s="6">
        <v>1</v>
      </c>
      <c r="E343" s="6">
        <v>0</v>
      </c>
      <c r="J343"/>
      <c r="L343"/>
    </row>
    <row r="344" spans="1:25" x14ac:dyDescent="0.25">
      <c r="A344" s="12" t="s">
        <v>16</v>
      </c>
      <c r="B344" s="6">
        <v>7.6923076923076927E-2</v>
      </c>
      <c r="C344" s="6">
        <v>0</v>
      </c>
      <c r="D344" s="6">
        <v>0</v>
      </c>
      <c r="E344" s="6">
        <v>0.92307692307692313</v>
      </c>
      <c r="J344"/>
      <c r="L344"/>
    </row>
    <row r="345" spans="1:25" x14ac:dyDescent="0.25">
      <c r="A345" s="12" t="s">
        <v>22</v>
      </c>
      <c r="B345" s="6">
        <v>0.15384615384615385</v>
      </c>
      <c r="C345" s="6">
        <v>0.20512820512820512</v>
      </c>
      <c r="D345" s="6">
        <v>0.53846153846153844</v>
      </c>
      <c r="E345" s="6">
        <v>0.10256410256410256</v>
      </c>
      <c r="J345"/>
      <c r="L345"/>
    </row>
    <row r="346" spans="1:25" x14ac:dyDescent="0.25">
      <c r="A346" s="12" t="s">
        <v>4</v>
      </c>
      <c r="B346" s="6">
        <v>0.30612244897959184</v>
      </c>
      <c r="C346" s="6">
        <v>8.1632653061224483E-2</v>
      </c>
      <c r="D346" s="6">
        <v>0.14285714285714285</v>
      </c>
      <c r="E346" s="6">
        <v>0.46938775510204084</v>
      </c>
      <c r="J346"/>
      <c r="L346"/>
    </row>
    <row r="347" spans="1:25" x14ac:dyDescent="0.25">
      <c r="A347" s="12" t="s">
        <v>6</v>
      </c>
      <c r="B347" s="6">
        <v>9.5238095238095233E-2</v>
      </c>
      <c r="C347" s="6">
        <v>0.2857142857142857</v>
      </c>
      <c r="D347" s="6">
        <v>0.21428571428571427</v>
      </c>
      <c r="E347" s="6">
        <v>0.40476190476190477</v>
      </c>
      <c r="J347"/>
      <c r="L347"/>
    </row>
    <row r="348" spans="1:25" x14ac:dyDescent="0.25">
      <c r="A348" s="12" t="s">
        <v>5</v>
      </c>
      <c r="B348" s="6">
        <v>4.2553191489361701E-2</v>
      </c>
      <c r="C348" s="6">
        <v>0.38297872340425532</v>
      </c>
      <c r="D348" s="6">
        <v>0.48936170212765956</v>
      </c>
      <c r="E348" s="6">
        <v>8.5106382978723402E-2</v>
      </c>
      <c r="J348"/>
      <c r="L348"/>
    </row>
    <row r="349" spans="1:25" x14ac:dyDescent="0.25">
      <c r="A349" s="12" t="s">
        <v>8</v>
      </c>
      <c r="B349" s="6">
        <v>0.6</v>
      </c>
      <c r="C349" s="6">
        <v>0.1</v>
      </c>
      <c r="D349" s="6">
        <v>0.2</v>
      </c>
      <c r="E349" s="6">
        <v>0.1</v>
      </c>
      <c r="J349"/>
      <c r="L349"/>
    </row>
    <row r="350" spans="1:25" x14ac:dyDescent="0.25">
      <c r="A350" s="12" t="s">
        <v>12</v>
      </c>
      <c r="B350" s="6">
        <v>0.83333333333333337</v>
      </c>
      <c r="C350" s="6">
        <v>6.25E-2</v>
      </c>
      <c r="D350" s="6">
        <v>6.25E-2</v>
      </c>
      <c r="E350" s="6">
        <v>4.1666666666666664E-2</v>
      </c>
      <c r="J350"/>
      <c r="L350"/>
    </row>
    <row r="351" spans="1:25" x14ac:dyDescent="0.25">
      <c r="A351" s="12" t="s">
        <v>23</v>
      </c>
      <c r="B351" s="6">
        <v>0.44827586206896552</v>
      </c>
      <c r="C351" s="6">
        <v>6.8965517241379309E-2</v>
      </c>
      <c r="D351" s="6">
        <v>0.13793103448275862</v>
      </c>
      <c r="E351" s="6">
        <v>0.34482758620689657</v>
      </c>
      <c r="J351"/>
      <c r="L351"/>
      <c r="Y351"/>
    </row>
    <row r="352" spans="1:25" x14ac:dyDescent="0.25">
      <c r="A352" s="12" t="s">
        <v>11</v>
      </c>
      <c r="B352" s="6">
        <v>0</v>
      </c>
      <c r="C352" s="6">
        <v>0.84615384615384615</v>
      </c>
      <c r="D352" s="6">
        <v>3.8461538461538464E-2</v>
      </c>
      <c r="E352" s="6">
        <v>0.11538461538461539</v>
      </c>
      <c r="J352"/>
      <c r="L352"/>
      <c r="Y352"/>
    </row>
    <row r="353" spans="1:26" x14ac:dyDescent="0.25">
      <c r="A353" s="12" t="s">
        <v>9</v>
      </c>
      <c r="B353" s="6">
        <v>0.54166666666666663</v>
      </c>
      <c r="C353" s="6">
        <v>0.20833333333333334</v>
      </c>
      <c r="D353" s="6">
        <v>0.125</v>
      </c>
      <c r="E353" s="6">
        <v>0.125</v>
      </c>
      <c r="J353"/>
      <c r="L353"/>
      <c r="Y353"/>
    </row>
    <row r="354" spans="1:26" x14ac:dyDescent="0.25">
      <c r="A354" s="12" t="s">
        <v>24</v>
      </c>
      <c r="B354" s="6">
        <v>0.15789473684210525</v>
      </c>
      <c r="C354" s="6">
        <v>0.31578947368421051</v>
      </c>
      <c r="D354" s="6">
        <v>0.10526315789473684</v>
      </c>
      <c r="E354" s="6">
        <v>0.42105263157894735</v>
      </c>
      <c r="J354"/>
      <c r="L354"/>
      <c r="Y354"/>
    </row>
    <row r="355" spans="1:26" x14ac:dyDescent="0.25">
      <c r="A355" s="12" t="s">
        <v>26</v>
      </c>
      <c r="B355" s="6">
        <v>0</v>
      </c>
      <c r="C355" s="6">
        <v>0.42857142857142855</v>
      </c>
      <c r="D355" s="6">
        <v>0.42857142857142855</v>
      </c>
      <c r="E355" s="6">
        <v>0.14285714285714285</v>
      </c>
      <c r="J355"/>
      <c r="L355"/>
      <c r="Y355"/>
    </row>
    <row r="356" spans="1:26" x14ac:dyDescent="0.25">
      <c r="A356" s="12" t="s">
        <v>7</v>
      </c>
      <c r="B356" s="6">
        <v>0.38235294117647056</v>
      </c>
      <c r="C356" s="6">
        <v>5.8823529411764705E-2</v>
      </c>
      <c r="D356" s="6">
        <v>0.52941176470588236</v>
      </c>
      <c r="E356" s="6">
        <v>2.9411764705882353E-2</v>
      </c>
      <c r="J356"/>
      <c r="L356"/>
      <c r="Y356"/>
    </row>
    <row r="357" spans="1:26" x14ac:dyDescent="0.25">
      <c r="A357" s="12" t="s">
        <v>10</v>
      </c>
      <c r="B357" s="6">
        <v>0</v>
      </c>
      <c r="C357" s="6">
        <v>0.25</v>
      </c>
      <c r="D357" s="6">
        <v>0</v>
      </c>
      <c r="E357" s="6">
        <v>0.75</v>
      </c>
      <c r="Y357"/>
    </row>
    <row r="358" spans="1:26" x14ac:dyDescent="0.25">
      <c r="Y358"/>
    </row>
    <row r="359" spans="1:26" x14ac:dyDescent="0.25">
      <c r="Y359"/>
    </row>
    <row r="360" spans="1:26" x14ac:dyDescent="0.25">
      <c r="A360" s="4" t="s">
        <v>199</v>
      </c>
      <c r="Y360"/>
    </row>
    <row r="361" spans="1:26" x14ac:dyDescent="0.25">
      <c r="A361"/>
      <c r="B361" s="28" t="s">
        <v>169</v>
      </c>
      <c r="C361" s="28" t="s">
        <v>171</v>
      </c>
      <c r="D361" s="28" t="s">
        <v>165</v>
      </c>
      <c r="E361" s="28" t="s">
        <v>176</v>
      </c>
      <c r="F361" s="28" t="s">
        <v>174</v>
      </c>
      <c r="G361" s="28" t="s">
        <v>168</v>
      </c>
      <c r="H361" s="28" t="s">
        <v>181</v>
      </c>
      <c r="I361" s="28" t="s">
        <v>173</v>
      </c>
      <c r="J361" s="28" t="s">
        <v>175</v>
      </c>
      <c r="K361" s="28" t="s">
        <v>166</v>
      </c>
      <c r="L361" s="28" t="s">
        <v>178</v>
      </c>
      <c r="M361" s="28" t="s">
        <v>164</v>
      </c>
      <c r="N361" s="28" t="s">
        <v>167</v>
      </c>
      <c r="O361" s="28" t="s">
        <v>170</v>
      </c>
      <c r="P361" s="28" t="s">
        <v>177</v>
      </c>
      <c r="Q361" s="28" t="s">
        <v>162</v>
      </c>
      <c r="R361" s="28" t="s">
        <v>172</v>
      </c>
      <c r="S361" s="28" t="s">
        <v>180</v>
      </c>
      <c r="T361" s="28" t="s">
        <v>179</v>
      </c>
      <c r="U361" s="28" t="s">
        <v>163</v>
      </c>
      <c r="X361" s="2" t="s">
        <v>201</v>
      </c>
      <c r="Y361" s="2" t="s">
        <v>202</v>
      </c>
      <c r="Z361" s="2" t="s">
        <v>203</v>
      </c>
    </row>
    <row r="362" spans="1:26" x14ac:dyDescent="0.25">
      <c r="A362" s="12" t="s">
        <v>3</v>
      </c>
      <c r="B362" s="8">
        <v>0</v>
      </c>
      <c r="C362" s="8">
        <v>12</v>
      </c>
      <c r="D362" s="8">
        <v>4</v>
      </c>
      <c r="E362" s="8">
        <v>0</v>
      </c>
      <c r="F362" s="8">
        <v>1</v>
      </c>
      <c r="G362" s="8">
        <v>4</v>
      </c>
      <c r="H362" s="8">
        <v>0</v>
      </c>
      <c r="I362" s="8">
        <v>3</v>
      </c>
      <c r="J362" s="8">
        <v>0</v>
      </c>
      <c r="K362" s="8">
        <v>5</v>
      </c>
      <c r="L362" s="8">
        <v>0</v>
      </c>
      <c r="M362" s="8">
        <v>2</v>
      </c>
      <c r="N362" s="8">
        <v>1</v>
      </c>
      <c r="O362" s="8">
        <v>0</v>
      </c>
      <c r="P362" s="8">
        <v>3</v>
      </c>
      <c r="Q362" s="8">
        <v>0</v>
      </c>
      <c r="R362" s="8">
        <v>4</v>
      </c>
      <c r="S362" s="8">
        <v>0</v>
      </c>
      <c r="T362" s="8">
        <v>2</v>
      </c>
      <c r="U362" s="8">
        <v>4</v>
      </c>
      <c r="V362" s="1">
        <f>SUM(B362:U362)</f>
        <v>45</v>
      </c>
      <c r="X362" s="1" t="s">
        <v>171</v>
      </c>
      <c r="Y362" t="s">
        <v>166</v>
      </c>
      <c r="Z362" s="1" t="s">
        <v>165</v>
      </c>
    </row>
    <row r="363" spans="1:26" x14ac:dyDescent="0.25">
      <c r="A363" s="12" t="s">
        <v>18</v>
      </c>
      <c r="B363" s="8">
        <v>0</v>
      </c>
      <c r="C363" s="8">
        <v>0</v>
      </c>
      <c r="D363" s="8">
        <v>0</v>
      </c>
      <c r="E363" s="8">
        <v>0</v>
      </c>
      <c r="F363" s="8">
        <v>0</v>
      </c>
      <c r="G363" s="8">
        <v>0</v>
      </c>
      <c r="H363" s="8">
        <v>0</v>
      </c>
      <c r="I363" s="8">
        <v>0</v>
      </c>
      <c r="J363" s="8">
        <v>0</v>
      </c>
      <c r="K363" s="8">
        <v>0</v>
      </c>
      <c r="L363" s="8">
        <v>0</v>
      </c>
      <c r="M363" s="8">
        <v>9</v>
      </c>
      <c r="N363" s="8">
        <v>0</v>
      </c>
      <c r="O363" s="8">
        <v>0</v>
      </c>
      <c r="P363" s="8">
        <v>0</v>
      </c>
      <c r="Q363" s="8">
        <v>0</v>
      </c>
      <c r="R363" s="8">
        <v>0</v>
      </c>
      <c r="S363" s="8">
        <v>0</v>
      </c>
      <c r="T363" s="8">
        <v>0</v>
      </c>
      <c r="U363" s="8">
        <v>0</v>
      </c>
      <c r="V363" s="1">
        <f t="shared" ref="V363:V377" si="21">SUM(B363:U363)</f>
        <v>9</v>
      </c>
      <c r="X363" s="1" t="s">
        <v>164</v>
      </c>
      <c r="Y363" t="s">
        <v>164</v>
      </c>
      <c r="Z363" s="1" t="s">
        <v>164</v>
      </c>
    </row>
    <row r="364" spans="1:26" x14ac:dyDescent="0.25">
      <c r="A364" s="12" t="s">
        <v>16</v>
      </c>
      <c r="B364" s="8">
        <v>1</v>
      </c>
      <c r="C364" s="8">
        <v>1</v>
      </c>
      <c r="D364" s="8">
        <v>0</v>
      </c>
      <c r="E364" s="8">
        <v>0</v>
      </c>
      <c r="F364" s="8">
        <v>1</v>
      </c>
      <c r="G364" s="8">
        <v>0</v>
      </c>
      <c r="H364" s="8">
        <v>0</v>
      </c>
      <c r="I364" s="8">
        <v>0</v>
      </c>
      <c r="J364" s="8">
        <v>0</v>
      </c>
      <c r="K364" s="12">
        <v>0</v>
      </c>
      <c r="L364" s="12">
        <v>0</v>
      </c>
      <c r="M364" s="8">
        <v>0</v>
      </c>
      <c r="N364" s="8">
        <v>0</v>
      </c>
      <c r="O364" s="8">
        <v>0</v>
      </c>
      <c r="P364" s="8">
        <v>0</v>
      </c>
      <c r="Q364" s="8">
        <v>0</v>
      </c>
      <c r="R364" s="8">
        <v>36</v>
      </c>
      <c r="S364" s="8">
        <v>0</v>
      </c>
      <c r="T364" s="8">
        <v>0</v>
      </c>
      <c r="U364" s="8">
        <v>0</v>
      </c>
      <c r="V364" s="1">
        <f t="shared" si="21"/>
        <v>39</v>
      </c>
      <c r="X364" s="1" t="s">
        <v>172</v>
      </c>
      <c r="Y364" t="s">
        <v>169</v>
      </c>
      <c r="Z364" s="1" t="s">
        <v>171</v>
      </c>
    </row>
    <row r="365" spans="1:26" x14ac:dyDescent="0.25">
      <c r="A365" s="12" t="s">
        <v>22</v>
      </c>
      <c r="B365" s="8">
        <v>2</v>
      </c>
      <c r="C365" s="8">
        <v>2</v>
      </c>
      <c r="D365" s="8">
        <v>0</v>
      </c>
      <c r="E365" s="8">
        <v>0</v>
      </c>
      <c r="F365" s="8">
        <v>0</v>
      </c>
      <c r="G365" s="8">
        <v>2</v>
      </c>
      <c r="H365" s="12">
        <v>2</v>
      </c>
      <c r="I365" s="12">
        <v>1</v>
      </c>
      <c r="J365" s="12">
        <v>2</v>
      </c>
      <c r="K365" s="12">
        <v>1</v>
      </c>
      <c r="L365" s="12">
        <v>2</v>
      </c>
      <c r="M365" s="8">
        <v>4</v>
      </c>
      <c r="N365" s="8">
        <v>2</v>
      </c>
      <c r="O365" s="8">
        <v>3</v>
      </c>
      <c r="P365" s="8">
        <v>7</v>
      </c>
      <c r="Q365" s="8">
        <v>5</v>
      </c>
      <c r="R365" s="8">
        <v>2</v>
      </c>
      <c r="S365" s="8">
        <v>1</v>
      </c>
      <c r="T365" s="8">
        <v>0</v>
      </c>
      <c r="U365" s="8">
        <v>1</v>
      </c>
      <c r="V365" s="1">
        <f t="shared" si="21"/>
        <v>39</v>
      </c>
      <c r="X365" s="1" t="s">
        <v>177</v>
      </c>
      <c r="Y365" t="s">
        <v>162</v>
      </c>
      <c r="Z365" s="1" t="s">
        <v>164</v>
      </c>
    </row>
    <row r="366" spans="1:26" x14ac:dyDescent="0.25">
      <c r="A366" s="12" t="s">
        <v>4</v>
      </c>
      <c r="B366" s="8">
        <v>11</v>
      </c>
      <c r="C366" s="8">
        <v>0</v>
      </c>
      <c r="D366" s="8">
        <v>2</v>
      </c>
      <c r="E366" s="8">
        <v>2</v>
      </c>
      <c r="F366" s="8">
        <v>0</v>
      </c>
      <c r="G366" s="8">
        <v>0</v>
      </c>
      <c r="H366" s="12">
        <v>1</v>
      </c>
      <c r="I366" s="12">
        <v>1</v>
      </c>
      <c r="J366" s="12">
        <v>0</v>
      </c>
      <c r="K366" s="12">
        <v>2</v>
      </c>
      <c r="L366" s="12">
        <v>0</v>
      </c>
      <c r="M366" s="8">
        <v>2</v>
      </c>
      <c r="N366" s="8">
        <v>0</v>
      </c>
      <c r="O366" s="8">
        <v>2</v>
      </c>
      <c r="P366" s="8">
        <v>3</v>
      </c>
      <c r="Q366" s="8">
        <v>0</v>
      </c>
      <c r="R366" s="8">
        <v>1</v>
      </c>
      <c r="S366" s="8">
        <v>4</v>
      </c>
      <c r="T366" s="8">
        <v>18</v>
      </c>
      <c r="U366" s="8">
        <v>0</v>
      </c>
      <c r="V366" s="1">
        <f t="shared" si="21"/>
        <v>49</v>
      </c>
      <c r="X366" s="1" t="s">
        <v>179</v>
      </c>
      <c r="Y366" t="s">
        <v>169</v>
      </c>
      <c r="Z366" s="1" t="s">
        <v>180</v>
      </c>
    </row>
    <row r="367" spans="1:26" x14ac:dyDescent="0.25">
      <c r="A367" s="12" t="s">
        <v>6</v>
      </c>
      <c r="B367" s="8">
        <v>1</v>
      </c>
      <c r="C367" s="8">
        <v>1</v>
      </c>
      <c r="D367" s="8">
        <v>1</v>
      </c>
      <c r="E367" s="8">
        <v>0</v>
      </c>
      <c r="F367" s="8">
        <v>1</v>
      </c>
      <c r="G367" s="8">
        <v>0</v>
      </c>
      <c r="H367" s="12">
        <v>11</v>
      </c>
      <c r="I367" s="12">
        <v>1</v>
      </c>
      <c r="J367" s="12">
        <v>0</v>
      </c>
      <c r="K367" s="12">
        <v>0</v>
      </c>
      <c r="L367" s="12">
        <v>0</v>
      </c>
      <c r="M367" s="8">
        <v>0</v>
      </c>
      <c r="N367" s="8">
        <v>0</v>
      </c>
      <c r="O367" s="8">
        <v>9</v>
      </c>
      <c r="P367" s="8">
        <v>0</v>
      </c>
      <c r="Q367" s="8">
        <v>0</v>
      </c>
      <c r="R367" s="8">
        <v>10</v>
      </c>
      <c r="S367" s="8">
        <v>1</v>
      </c>
      <c r="T367" s="8">
        <v>0</v>
      </c>
      <c r="U367" s="8">
        <v>6</v>
      </c>
      <c r="V367" s="1">
        <f t="shared" si="21"/>
        <v>42</v>
      </c>
      <c r="X367" s="1" t="s">
        <v>181</v>
      </c>
      <c r="Y367" s="1" t="s">
        <v>172</v>
      </c>
      <c r="Z367" s="1" t="s">
        <v>170</v>
      </c>
    </row>
    <row r="368" spans="1:26" x14ac:dyDescent="0.25">
      <c r="A368" s="12" t="s">
        <v>5</v>
      </c>
      <c r="B368" s="8">
        <v>1</v>
      </c>
      <c r="C368" s="8">
        <v>0</v>
      </c>
      <c r="D368" s="8">
        <v>0</v>
      </c>
      <c r="E368" s="8">
        <v>0</v>
      </c>
      <c r="F368" s="8">
        <v>0</v>
      </c>
      <c r="G368" s="8">
        <v>1</v>
      </c>
      <c r="H368" s="12">
        <v>7</v>
      </c>
      <c r="I368" s="12">
        <v>1</v>
      </c>
      <c r="J368" s="12">
        <v>6</v>
      </c>
      <c r="K368" s="12">
        <v>4</v>
      </c>
      <c r="L368" s="12">
        <v>0</v>
      </c>
      <c r="M368" s="8">
        <v>5</v>
      </c>
      <c r="N368" s="8">
        <v>10</v>
      </c>
      <c r="O368" s="8">
        <v>6</v>
      </c>
      <c r="P368" s="8">
        <v>0</v>
      </c>
      <c r="Q368" s="8">
        <v>2</v>
      </c>
      <c r="R368" s="8">
        <v>1</v>
      </c>
      <c r="S368" s="8">
        <v>2</v>
      </c>
      <c r="T368" s="8">
        <v>1</v>
      </c>
      <c r="U368" s="8">
        <v>0</v>
      </c>
      <c r="V368" s="1">
        <f t="shared" si="21"/>
        <v>47</v>
      </c>
      <c r="X368" s="1" t="s">
        <v>167</v>
      </c>
      <c r="Y368" s="1" t="s">
        <v>181</v>
      </c>
      <c r="Z368" s="1" t="s">
        <v>175</v>
      </c>
    </row>
    <row r="369" spans="1:26" x14ac:dyDescent="0.25">
      <c r="A369" s="12" t="s">
        <v>8</v>
      </c>
      <c r="B369" s="8">
        <v>0</v>
      </c>
      <c r="C369" s="8">
        <v>4</v>
      </c>
      <c r="D369" s="8">
        <v>8</v>
      </c>
      <c r="E369" s="8">
        <v>2</v>
      </c>
      <c r="F369" s="8">
        <v>0</v>
      </c>
      <c r="G369" s="8">
        <v>4</v>
      </c>
      <c r="H369" s="12">
        <v>0</v>
      </c>
      <c r="I369" s="12">
        <v>1</v>
      </c>
      <c r="J369" s="12">
        <v>0</v>
      </c>
      <c r="K369" s="12">
        <v>2</v>
      </c>
      <c r="L369" s="12">
        <v>0</v>
      </c>
      <c r="M369" s="8">
        <v>1</v>
      </c>
      <c r="N369" s="8">
        <v>4</v>
      </c>
      <c r="O369" s="8">
        <v>0</v>
      </c>
      <c r="P369" s="8">
        <v>0</v>
      </c>
      <c r="Q369" s="8">
        <v>1</v>
      </c>
      <c r="R369" s="8">
        <v>0</v>
      </c>
      <c r="S369" s="8">
        <v>0</v>
      </c>
      <c r="T369" s="8">
        <v>3</v>
      </c>
      <c r="U369" s="8">
        <v>0</v>
      </c>
      <c r="V369" s="1">
        <f t="shared" si="21"/>
        <v>30</v>
      </c>
      <c r="X369" s="1" t="s">
        <v>165</v>
      </c>
      <c r="Y369" s="1" t="s">
        <v>171</v>
      </c>
      <c r="Z369" s="1" t="s">
        <v>168</v>
      </c>
    </row>
    <row r="370" spans="1:26" x14ac:dyDescent="0.25">
      <c r="A370" s="12" t="s">
        <v>12</v>
      </c>
      <c r="B370" s="8">
        <v>0</v>
      </c>
      <c r="C370" s="8">
        <v>0</v>
      </c>
      <c r="D370" s="8">
        <v>1</v>
      </c>
      <c r="E370" s="8">
        <v>38</v>
      </c>
      <c r="F370" s="8">
        <v>0</v>
      </c>
      <c r="G370" s="8">
        <v>0</v>
      </c>
      <c r="H370" s="12">
        <v>0</v>
      </c>
      <c r="I370" s="12">
        <v>1</v>
      </c>
      <c r="J370" s="12">
        <v>2</v>
      </c>
      <c r="K370" s="12">
        <v>0</v>
      </c>
      <c r="L370" s="12">
        <v>0</v>
      </c>
      <c r="M370" s="8">
        <v>0</v>
      </c>
      <c r="N370" s="8">
        <v>0</v>
      </c>
      <c r="O370" s="8">
        <v>1</v>
      </c>
      <c r="P370" s="8">
        <v>0</v>
      </c>
      <c r="Q370" s="8">
        <v>2</v>
      </c>
      <c r="R370" s="8">
        <v>1</v>
      </c>
      <c r="S370" s="8">
        <v>0</v>
      </c>
      <c r="T370" s="8">
        <v>0</v>
      </c>
      <c r="U370" s="8">
        <v>1</v>
      </c>
      <c r="V370" s="1">
        <f t="shared" si="21"/>
        <v>47</v>
      </c>
      <c r="X370" s="1" t="s">
        <v>176</v>
      </c>
      <c r="Y370" s="1" t="s">
        <v>175</v>
      </c>
      <c r="Z370" s="1" t="s">
        <v>162</v>
      </c>
    </row>
    <row r="371" spans="1:26" x14ac:dyDescent="0.25">
      <c r="A371" s="12" t="s">
        <v>23</v>
      </c>
      <c r="B371" s="8">
        <v>0</v>
      </c>
      <c r="C371" s="8">
        <v>1</v>
      </c>
      <c r="D371" s="8">
        <v>7</v>
      </c>
      <c r="E371" s="8">
        <v>4</v>
      </c>
      <c r="F371" s="8">
        <v>0</v>
      </c>
      <c r="G371" s="8">
        <v>1</v>
      </c>
      <c r="H371" s="12">
        <v>2</v>
      </c>
      <c r="I371" s="12">
        <v>0</v>
      </c>
      <c r="J371" s="12">
        <v>0</v>
      </c>
      <c r="K371" s="12">
        <v>0</v>
      </c>
      <c r="L371" s="12">
        <v>0</v>
      </c>
      <c r="M371" s="8">
        <v>1</v>
      </c>
      <c r="N371" s="8">
        <v>0</v>
      </c>
      <c r="O371" s="8">
        <v>2</v>
      </c>
      <c r="P371" s="8">
        <v>0</v>
      </c>
      <c r="Q371" s="8">
        <v>1</v>
      </c>
      <c r="R371" s="8">
        <v>5</v>
      </c>
      <c r="S371" s="8">
        <v>2</v>
      </c>
      <c r="T371" s="8">
        <v>0</v>
      </c>
      <c r="U371" s="8">
        <v>3</v>
      </c>
      <c r="V371" s="1">
        <f t="shared" si="21"/>
        <v>29</v>
      </c>
      <c r="X371" s="1" t="s">
        <v>165</v>
      </c>
      <c r="Y371" s="1" t="s">
        <v>172</v>
      </c>
      <c r="Z371" s="1" t="s">
        <v>176</v>
      </c>
    </row>
    <row r="372" spans="1:26" x14ac:dyDescent="0.25">
      <c r="A372" s="12" t="s">
        <v>11</v>
      </c>
      <c r="B372" s="8">
        <v>0</v>
      </c>
      <c r="C372" s="8">
        <v>0</v>
      </c>
      <c r="D372" s="8">
        <v>0</v>
      </c>
      <c r="E372" s="8">
        <v>0</v>
      </c>
      <c r="F372" s="8">
        <v>0</v>
      </c>
      <c r="G372" s="8">
        <v>0</v>
      </c>
      <c r="H372" s="12">
        <v>0</v>
      </c>
      <c r="I372" s="12">
        <v>22</v>
      </c>
      <c r="J372" s="12">
        <v>0</v>
      </c>
      <c r="K372" s="12">
        <v>0</v>
      </c>
      <c r="L372" s="12">
        <v>0</v>
      </c>
      <c r="M372" s="8">
        <v>1</v>
      </c>
      <c r="N372" s="8">
        <v>0</v>
      </c>
      <c r="O372" s="8">
        <v>0</v>
      </c>
      <c r="P372" s="8">
        <v>0</v>
      </c>
      <c r="Q372" s="8">
        <v>0</v>
      </c>
      <c r="R372" s="8">
        <v>0</v>
      </c>
      <c r="S372" s="8">
        <v>0</v>
      </c>
      <c r="T372" s="8">
        <v>1</v>
      </c>
      <c r="U372" s="8">
        <v>2</v>
      </c>
      <c r="V372" s="1">
        <f t="shared" si="21"/>
        <v>26</v>
      </c>
      <c r="X372" s="1" t="s">
        <v>173</v>
      </c>
      <c r="Y372" s="1" t="s">
        <v>163</v>
      </c>
      <c r="Z372" s="1" t="s">
        <v>164</v>
      </c>
    </row>
    <row r="373" spans="1:26" x14ac:dyDescent="0.25">
      <c r="A373" s="12" t="s">
        <v>9</v>
      </c>
      <c r="B373" s="8">
        <v>1</v>
      </c>
      <c r="C373" s="8">
        <v>2</v>
      </c>
      <c r="D373" s="8">
        <v>2</v>
      </c>
      <c r="E373" s="8">
        <v>0</v>
      </c>
      <c r="F373" s="8">
        <v>0</v>
      </c>
      <c r="G373" s="8">
        <v>8</v>
      </c>
      <c r="H373" s="12">
        <v>1</v>
      </c>
      <c r="I373" s="12">
        <v>2</v>
      </c>
      <c r="J373" s="12">
        <v>2</v>
      </c>
      <c r="K373" s="12">
        <v>0</v>
      </c>
      <c r="L373" s="12">
        <v>0</v>
      </c>
      <c r="M373" s="8">
        <v>1</v>
      </c>
      <c r="N373" s="8">
        <v>1</v>
      </c>
      <c r="O373" s="8">
        <v>0</v>
      </c>
      <c r="P373" s="8">
        <v>0</v>
      </c>
      <c r="Q373" s="8">
        <v>1</v>
      </c>
      <c r="R373" s="8">
        <v>2</v>
      </c>
      <c r="S373" s="8">
        <v>0</v>
      </c>
      <c r="T373" s="8">
        <v>0</v>
      </c>
      <c r="U373" s="8">
        <v>1</v>
      </c>
      <c r="V373" s="1">
        <f t="shared" si="21"/>
        <v>24</v>
      </c>
      <c r="X373" s="1" t="s">
        <v>168</v>
      </c>
      <c r="Y373" s="1" t="s">
        <v>171</v>
      </c>
      <c r="Z373" s="1" t="s">
        <v>165</v>
      </c>
    </row>
    <row r="374" spans="1:26" x14ac:dyDescent="0.25">
      <c r="A374" s="12" t="s">
        <v>24</v>
      </c>
      <c r="B374" s="8">
        <v>1</v>
      </c>
      <c r="C374" s="8">
        <v>0</v>
      </c>
      <c r="D374" s="8">
        <v>2</v>
      </c>
      <c r="E374" s="8">
        <v>0</v>
      </c>
      <c r="F374" s="8">
        <v>0</v>
      </c>
      <c r="G374" s="8">
        <v>0</v>
      </c>
      <c r="H374" s="12">
        <v>0</v>
      </c>
      <c r="I374" s="12">
        <v>3</v>
      </c>
      <c r="J374" s="12">
        <v>1</v>
      </c>
      <c r="K374" s="12">
        <v>2</v>
      </c>
      <c r="L374" s="12">
        <v>0</v>
      </c>
      <c r="M374" s="8">
        <v>0</v>
      </c>
      <c r="N374" s="8">
        <v>0</v>
      </c>
      <c r="O374" s="8">
        <v>0</v>
      </c>
      <c r="P374" s="8">
        <v>0</v>
      </c>
      <c r="Q374" s="8">
        <v>2</v>
      </c>
      <c r="R374" s="8">
        <v>5</v>
      </c>
      <c r="S374" s="8">
        <v>1</v>
      </c>
      <c r="T374" s="8">
        <v>1</v>
      </c>
      <c r="U374" s="8">
        <v>1</v>
      </c>
      <c r="V374" s="1">
        <f t="shared" si="21"/>
        <v>19</v>
      </c>
      <c r="X374" s="1" t="s">
        <v>172</v>
      </c>
      <c r="Y374" s="1" t="s">
        <v>173</v>
      </c>
      <c r="Z374" s="1" t="s">
        <v>165</v>
      </c>
    </row>
    <row r="375" spans="1:26" x14ac:dyDescent="0.25">
      <c r="A375" s="12" t="s">
        <v>26</v>
      </c>
      <c r="B375" s="8">
        <v>0</v>
      </c>
      <c r="C375" s="8">
        <v>0</v>
      </c>
      <c r="D375" s="8">
        <v>0</v>
      </c>
      <c r="E375" s="8">
        <v>0</v>
      </c>
      <c r="F375" s="8">
        <v>0</v>
      </c>
      <c r="G375" s="8">
        <v>0</v>
      </c>
      <c r="H375" s="12">
        <v>0</v>
      </c>
      <c r="I375" s="12">
        <v>1</v>
      </c>
      <c r="J375" s="12">
        <v>2</v>
      </c>
      <c r="K375" s="12">
        <v>0</v>
      </c>
      <c r="L375" s="12">
        <v>0</v>
      </c>
      <c r="M375" s="8">
        <v>0</v>
      </c>
      <c r="N375" s="8">
        <v>0</v>
      </c>
      <c r="O375" s="8">
        <v>0</v>
      </c>
      <c r="P375" s="8">
        <v>0</v>
      </c>
      <c r="Q375" s="8">
        <v>3</v>
      </c>
      <c r="R375" s="8">
        <v>1</v>
      </c>
      <c r="S375" s="8">
        <v>0</v>
      </c>
      <c r="T375" s="8">
        <v>0</v>
      </c>
      <c r="U375" s="8">
        <v>0</v>
      </c>
      <c r="V375" s="1">
        <f t="shared" si="21"/>
        <v>7</v>
      </c>
      <c r="X375" s="1" t="s">
        <v>162</v>
      </c>
      <c r="Y375" s="1" t="s">
        <v>175</v>
      </c>
      <c r="Z375" s="1" t="s">
        <v>173</v>
      </c>
    </row>
    <row r="376" spans="1:26" x14ac:dyDescent="0.25">
      <c r="A376" s="12" t="s">
        <v>7</v>
      </c>
      <c r="B376" s="8">
        <v>0</v>
      </c>
      <c r="C376" s="8">
        <v>3</v>
      </c>
      <c r="D376" s="8">
        <v>0</v>
      </c>
      <c r="E376" s="8">
        <v>2</v>
      </c>
      <c r="F376" s="8">
        <v>8</v>
      </c>
      <c r="G376" s="8">
        <v>0</v>
      </c>
      <c r="H376" s="8">
        <v>1</v>
      </c>
      <c r="I376" s="8">
        <v>0</v>
      </c>
      <c r="J376" s="8">
        <v>0</v>
      </c>
      <c r="K376" s="8">
        <v>1</v>
      </c>
      <c r="L376" s="8">
        <v>0</v>
      </c>
      <c r="M376" s="8">
        <v>10</v>
      </c>
      <c r="N376" s="8">
        <v>0</v>
      </c>
      <c r="O376" s="8">
        <v>0</v>
      </c>
      <c r="P376" s="8">
        <v>0</v>
      </c>
      <c r="Q376" s="8">
        <v>8</v>
      </c>
      <c r="R376" s="8">
        <v>0</v>
      </c>
      <c r="S376" s="8">
        <v>0</v>
      </c>
      <c r="T376" s="8">
        <v>1</v>
      </c>
      <c r="U376" s="8">
        <v>0</v>
      </c>
      <c r="V376" s="1">
        <f t="shared" si="21"/>
        <v>34</v>
      </c>
      <c r="X376" s="1" t="s">
        <v>164</v>
      </c>
      <c r="Y376" s="1" t="s">
        <v>174</v>
      </c>
      <c r="Z376" s="1" t="s">
        <v>162</v>
      </c>
    </row>
    <row r="377" spans="1:26" x14ac:dyDescent="0.25">
      <c r="A377" s="12" t="s">
        <v>10</v>
      </c>
      <c r="B377" s="8">
        <v>0</v>
      </c>
      <c r="C377" s="8">
        <v>0</v>
      </c>
      <c r="D377" s="8">
        <v>0</v>
      </c>
      <c r="E377" s="8">
        <v>0</v>
      </c>
      <c r="F377" s="8">
        <v>0</v>
      </c>
      <c r="G377" s="8">
        <v>0</v>
      </c>
      <c r="H377" s="8">
        <v>0</v>
      </c>
      <c r="I377" s="8">
        <v>1</v>
      </c>
      <c r="J377" s="8">
        <v>0</v>
      </c>
      <c r="K377" s="8">
        <v>0</v>
      </c>
      <c r="L377" s="8">
        <v>0</v>
      </c>
      <c r="M377" s="8">
        <v>0</v>
      </c>
      <c r="N377" s="8">
        <v>0</v>
      </c>
      <c r="O377" s="8">
        <v>0</v>
      </c>
      <c r="P377" s="8">
        <v>0</v>
      </c>
      <c r="Q377" s="8">
        <v>0</v>
      </c>
      <c r="R377" s="8">
        <v>1</v>
      </c>
      <c r="S377" s="8">
        <v>2</v>
      </c>
      <c r="T377" s="8">
        <v>0</v>
      </c>
      <c r="U377" s="8">
        <v>0</v>
      </c>
      <c r="V377" s="1">
        <f t="shared" si="21"/>
        <v>4</v>
      </c>
      <c r="X377" s="1" t="s">
        <v>180</v>
      </c>
      <c r="Y377" s="1" t="s">
        <v>173</v>
      </c>
      <c r="Z377" s="1" t="s">
        <v>172</v>
      </c>
    </row>
    <row r="380" spans="1:26" x14ac:dyDescent="0.25">
      <c r="A380" s="3" t="s">
        <v>200</v>
      </c>
    </row>
    <row r="381" spans="1:26" x14ac:dyDescent="0.25">
      <c r="A381"/>
      <c r="B381" s="28" t="s">
        <v>169</v>
      </c>
      <c r="C381" s="28" t="s">
        <v>171</v>
      </c>
      <c r="D381" s="28" t="s">
        <v>165</v>
      </c>
      <c r="E381" s="28" t="s">
        <v>176</v>
      </c>
      <c r="F381" s="28" t="s">
        <v>174</v>
      </c>
      <c r="G381" s="28" t="s">
        <v>168</v>
      </c>
      <c r="H381" s="28" t="s">
        <v>181</v>
      </c>
      <c r="I381" s="28" t="s">
        <v>173</v>
      </c>
      <c r="J381" s="28" t="s">
        <v>175</v>
      </c>
      <c r="K381" s="28" t="s">
        <v>166</v>
      </c>
      <c r="L381" s="28" t="s">
        <v>178</v>
      </c>
      <c r="M381" s="28" t="s">
        <v>164</v>
      </c>
      <c r="N381" s="28" t="s">
        <v>167</v>
      </c>
      <c r="O381" s="28" t="s">
        <v>170</v>
      </c>
      <c r="P381" s="28" t="s">
        <v>177</v>
      </c>
      <c r="Q381" s="28" t="s">
        <v>162</v>
      </c>
      <c r="R381" s="28" t="s">
        <v>172</v>
      </c>
      <c r="S381" s="28" t="s">
        <v>180</v>
      </c>
      <c r="T381" s="28" t="s">
        <v>179</v>
      </c>
      <c r="U381" s="28" t="s">
        <v>163</v>
      </c>
    </row>
    <row r="382" spans="1:26" x14ac:dyDescent="0.25">
      <c r="A382" s="12" t="s">
        <v>3</v>
      </c>
      <c r="B382" s="34">
        <f t="shared" ref="B382:U382" si="22">B362/$V362</f>
        <v>0</v>
      </c>
      <c r="C382" s="34">
        <f t="shared" si="22"/>
        <v>0.26666666666666666</v>
      </c>
      <c r="D382" s="34">
        <f t="shared" si="22"/>
        <v>8.8888888888888892E-2</v>
      </c>
      <c r="E382" s="34">
        <f t="shared" si="22"/>
        <v>0</v>
      </c>
      <c r="F382" s="34">
        <f t="shared" si="22"/>
        <v>2.2222222222222223E-2</v>
      </c>
      <c r="G382" s="34">
        <f t="shared" si="22"/>
        <v>8.8888888888888892E-2</v>
      </c>
      <c r="H382" s="34">
        <f t="shared" si="22"/>
        <v>0</v>
      </c>
      <c r="I382" s="34">
        <f t="shared" si="22"/>
        <v>6.6666666666666666E-2</v>
      </c>
      <c r="J382" s="34">
        <f t="shared" si="22"/>
        <v>0</v>
      </c>
      <c r="K382" s="34">
        <f t="shared" si="22"/>
        <v>0.1111111111111111</v>
      </c>
      <c r="L382" s="34">
        <f t="shared" si="22"/>
        <v>0</v>
      </c>
      <c r="M382" s="34">
        <f t="shared" si="22"/>
        <v>4.4444444444444446E-2</v>
      </c>
      <c r="N382" s="34">
        <f t="shared" si="22"/>
        <v>2.2222222222222223E-2</v>
      </c>
      <c r="O382" s="34">
        <f t="shared" si="22"/>
        <v>0</v>
      </c>
      <c r="P382" s="34">
        <f t="shared" si="22"/>
        <v>6.6666666666666666E-2</v>
      </c>
      <c r="Q382" s="34">
        <f t="shared" si="22"/>
        <v>0</v>
      </c>
      <c r="R382" s="34">
        <f t="shared" si="22"/>
        <v>8.8888888888888892E-2</v>
      </c>
      <c r="S382" s="34">
        <f t="shared" si="22"/>
        <v>0</v>
      </c>
      <c r="T382" s="34">
        <f t="shared" si="22"/>
        <v>4.4444444444444446E-2</v>
      </c>
      <c r="U382" s="34">
        <f t="shared" si="22"/>
        <v>8.8888888888888892E-2</v>
      </c>
    </row>
    <row r="383" spans="1:26" x14ac:dyDescent="0.25">
      <c r="A383" s="12" t="s">
        <v>18</v>
      </c>
      <c r="B383" s="34">
        <f t="shared" ref="B383:U383" si="23">B363/$V363</f>
        <v>0</v>
      </c>
      <c r="C383" s="34">
        <f t="shared" si="23"/>
        <v>0</v>
      </c>
      <c r="D383" s="34">
        <f t="shared" si="23"/>
        <v>0</v>
      </c>
      <c r="E383" s="34">
        <f t="shared" si="23"/>
        <v>0</v>
      </c>
      <c r="F383" s="34">
        <f t="shared" si="23"/>
        <v>0</v>
      </c>
      <c r="G383" s="34">
        <f t="shared" si="23"/>
        <v>0</v>
      </c>
      <c r="H383" s="34">
        <f t="shared" si="23"/>
        <v>0</v>
      </c>
      <c r="I383" s="34">
        <f t="shared" si="23"/>
        <v>0</v>
      </c>
      <c r="J383" s="34">
        <f t="shared" si="23"/>
        <v>0</v>
      </c>
      <c r="K383" s="34">
        <f t="shared" si="23"/>
        <v>0</v>
      </c>
      <c r="L383" s="34">
        <f t="shared" si="23"/>
        <v>0</v>
      </c>
      <c r="M383" s="34">
        <f t="shared" si="23"/>
        <v>1</v>
      </c>
      <c r="N383" s="34">
        <f t="shared" si="23"/>
        <v>0</v>
      </c>
      <c r="O383" s="34">
        <f t="shared" si="23"/>
        <v>0</v>
      </c>
      <c r="P383" s="34">
        <f t="shared" si="23"/>
        <v>0</v>
      </c>
      <c r="Q383" s="34">
        <f t="shared" si="23"/>
        <v>0</v>
      </c>
      <c r="R383" s="34">
        <f t="shared" si="23"/>
        <v>0</v>
      </c>
      <c r="S383" s="34">
        <f t="shared" si="23"/>
        <v>0</v>
      </c>
      <c r="T383" s="34">
        <f t="shared" si="23"/>
        <v>0</v>
      </c>
      <c r="U383" s="34">
        <f t="shared" si="23"/>
        <v>0</v>
      </c>
    </row>
    <row r="384" spans="1:26" x14ac:dyDescent="0.25">
      <c r="A384" s="12" t="s">
        <v>16</v>
      </c>
      <c r="B384" s="34">
        <f t="shared" ref="B384:U384" si="24">B364/$V364</f>
        <v>2.564102564102564E-2</v>
      </c>
      <c r="C384" s="34">
        <f t="shared" si="24"/>
        <v>2.564102564102564E-2</v>
      </c>
      <c r="D384" s="34">
        <f t="shared" si="24"/>
        <v>0</v>
      </c>
      <c r="E384" s="34">
        <f t="shared" si="24"/>
        <v>0</v>
      </c>
      <c r="F384" s="34">
        <f t="shared" si="24"/>
        <v>2.564102564102564E-2</v>
      </c>
      <c r="G384" s="34">
        <f t="shared" si="24"/>
        <v>0</v>
      </c>
      <c r="H384" s="34">
        <f t="shared" si="24"/>
        <v>0</v>
      </c>
      <c r="I384" s="34">
        <f t="shared" si="24"/>
        <v>0</v>
      </c>
      <c r="J384" s="34">
        <f t="shared" si="24"/>
        <v>0</v>
      </c>
      <c r="K384" s="34">
        <f t="shared" si="24"/>
        <v>0</v>
      </c>
      <c r="L384" s="34">
        <f t="shared" si="24"/>
        <v>0</v>
      </c>
      <c r="M384" s="34">
        <f t="shared" si="24"/>
        <v>0</v>
      </c>
      <c r="N384" s="34">
        <f t="shared" si="24"/>
        <v>0</v>
      </c>
      <c r="O384" s="34">
        <f t="shared" si="24"/>
        <v>0</v>
      </c>
      <c r="P384" s="34">
        <f t="shared" si="24"/>
        <v>0</v>
      </c>
      <c r="Q384" s="34">
        <f t="shared" si="24"/>
        <v>0</v>
      </c>
      <c r="R384" s="34">
        <f t="shared" si="24"/>
        <v>0.92307692307692313</v>
      </c>
      <c r="S384" s="34">
        <f t="shared" si="24"/>
        <v>0</v>
      </c>
      <c r="T384" s="34">
        <f t="shared" si="24"/>
        <v>0</v>
      </c>
      <c r="U384" s="34">
        <f t="shared" si="24"/>
        <v>0</v>
      </c>
    </row>
    <row r="385" spans="1:21" x14ac:dyDescent="0.25">
      <c r="A385" s="12" t="s">
        <v>22</v>
      </c>
      <c r="B385" s="34">
        <f t="shared" ref="B385:U385" si="25">B365/$V365</f>
        <v>5.128205128205128E-2</v>
      </c>
      <c r="C385" s="34">
        <f t="shared" si="25"/>
        <v>5.128205128205128E-2</v>
      </c>
      <c r="D385" s="34">
        <f t="shared" si="25"/>
        <v>0</v>
      </c>
      <c r="E385" s="34">
        <f t="shared" si="25"/>
        <v>0</v>
      </c>
      <c r="F385" s="34">
        <f t="shared" si="25"/>
        <v>0</v>
      </c>
      <c r="G385" s="34">
        <f t="shared" si="25"/>
        <v>5.128205128205128E-2</v>
      </c>
      <c r="H385" s="34">
        <f t="shared" si="25"/>
        <v>5.128205128205128E-2</v>
      </c>
      <c r="I385" s="34">
        <f t="shared" si="25"/>
        <v>2.564102564102564E-2</v>
      </c>
      <c r="J385" s="34">
        <f t="shared" si="25"/>
        <v>5.128205128205128E-2</v>
      </c>
      <c r="K385" s="34">
        <f t="shared" si="25"/>
        <v>2.564102564102564E-2</v>
      </c>
      <c r="L385" s="34">
        <f t="shared" si="25"/>
        <v>5.128205128205128E-2</v>
      </c>
      <c r="M385" s="34">
        <f t="shared" si="25"/>
        <v>0.10256410256410256</v>
      </c>
      <c r="N385" s="34">
        <f t="shared" si="25"/>
        <v>5.128205128205128E-2</v>
      </c>
      <c r="O385" s="34">
        <f t="shared" si="25"/>
        <v>7.6923076923076927E-2</v>
      </c>
      <c r="P385" s="34">
        <f t="shared" si="25"/>
        <v>0.17948717948717949</v>
      </c>
      <c r="Q385" s="34">
        <f t="shared" si="25"/>
        <v>0.12820512820512819</v>
      </c>
      <c r="R385" s="34">
        <f t="shared" si="25"/>
        <v>5.128205128205128E-2</v>
      </c>
      <c r="S385" s="34">
        <f t="shared" si="25"/>
        <v>2.564102564102564E-2</v>
      </c>
      <c r="T385" s="34">
        <f t="shared" si="25"/>
        <v>0</v>
      </c>
      <c r="U385" s="34">
        <f t="shared" si="25"/>
        <v>2.564102564102564E-2</v>
      </c>
    </row>
    <row r="386" spans="1:21" x14ac:dyDescent="0.25">
      <c r="A386" s="12" t="s">
        <v>4</v>
      </c>
      <c r="B386" s="34">
        <f t="shared" ref="B386:U386" si="26">B366/$V366</f>
        <v>0.22448979591836735</v>
      </c>
      <c r="C386" s="34">
        <f t="shared" si="26"/>
        <v>0</v>
      </c>
      <c r="D386" s="34">
        <f t="shared" si="26"/>
        <v>4.0816326530612242E-2</v>
      </c>
      <c r="E386" s="34">
        <f t="shared" si="26"/>
        <v>4.0816326530612242E-2</v>
      </c>
      <c r="F386" s="34">
        <f t="shared" si="26"/>
        <v>0</v>
      </c>
      <c r="G386" s="34">
        <f t="shared" si="26"/>
        <v>0</v>
      </c>
      <c r="H386" s="34">
        <f t="shared" si="26"/>
        <v>2.0408163265306121E-2</v>
      </c>
      <c r="I386" s="34">
        <f t="shared" si="26"/>
        <v>2.0408163265306121E-2</v>
      </c>
      <c r="J386" s="34">
        <f t="shared" si="26"/>
        <v>0</v>
      </c>
      <c r="K386" s="34">
        <f t="shared" si="26"/>
        <v>4.0816326530612242E-2</v>
      </c>
      <c r="L386" s="34">
        <f t="shared" si="26"/>
        <v>0</v>
      </c>
      <c r="M386" s="34">
        <f t="shared" si="26"/>
        <v>4.0816326530612242E-2</v>
      </c>
      <c r="N386" s="34">
        <f t="shared" si="26"/>
        <v>0</v>
      </c>
      <c r="O386" s="34">
        <f t="shared" si="26"/>
        <v>4.0816326530612242E-2</v>
      </c>
      <c r="P386" s="34">
        <f t="shared" si="26"/>
        <v>6.1224489795918366E-2</v>
      </c>
      <c r="Q386" s="34">
        <f t="shared" si="26"/>
        <v>0</v>
      </c>
      <c r="R386" s="34">
        <f t="shared" si="26"/>
        <v>2.0408163265306121E-2</v>
      </c>
      <c r="S386" s="34">
        <f t="shared" si="26"/>
        <v>8.1632653061224483E-2</v>
      </c>
      <c r="T386" s="34">
        <f t="shared" si="26"/>
        <v>0.36734693877551022</v>
      </c>
      <c r="U386" s="34">
        <f t="shared" si="26"/>
        <v>0</v>
      </c>
    </row>
    <row r="387" spans="1:21" x14ac:dyDescent="0.25">
      <c r="A387" s="12" t="s">
        <v>6</v>
      </c>
      <c r="B387" s="34">
        <f t="shared" ref="B387:U387" si="27">B367/$V367</f>
        <v>2.3809523809523808E-2</v>
      </c>
      <c r="C387" s="34">
        <f t="shared" si="27"/>
        <v>2.3809523809523808E-2</v>
      </c>
      <c r="D387" s="34">
        <f t="shared" si="27"/>
        <v>2.3809523809523808E-2</v>
      </c>
      <c r="E387" s="34">
        <f t="shared" si="27"/>
        <v>0</v>
      </c>
      <c r="F387" s="34">
        <f t="shared" si="27"/>
        <v>2.3809523809523808E-2</v>
      </c>
      <c r="G387" s="34">
        <f t="shared" si="27"/>
        <v>0</v>
      </c>
      <c r="H387" s="34">
        <f t="shared" si="27"/>
        <v>0.26190476190476192</v>
      </c>
      <c r="I387" s="34">
        <f t="shared" si="27"/>
        <v>2.3809523809523808E-2</v>
      </c>
      <c r="J387" s="34">
        <f t="shared" si="27"/>
        <v>0</v>
      </c>
      <c r="K387" s="34">
        <f t="shared" si="27"/>
        <v>0</v>
      </c>
      <c r="L387" s="34">
        <f t="shared" si="27"/>
        <v>0</v>
      </c>
      <c r="M387" s="34">
        <f t="shared" si="27"/>
        <v>0</v>
      </c>
      <c r="N387" s="34">
        <f t="shared" si="27"/>
        <v>0</v>
      </c>
      <c r="O387" s="34">
        <f t="shared" si="27"/>
        <v>0.21428571428571427</v>
      </c>
      <c r="P387" s="34">
        <f t="shared" si="27"/>
        <v>0</v>
      </c>
      <c r="Q387" s="34">
        <f t="shared" si="27"/>
        <v>0</v>
      </c>
      <c r="R387" s="34">
        <f t="shared" si="27"/>
        <v>0.23809523809523808</v>
      </c>
      <c r="S387" s="34">
        <f t="shared" si="27"/>
        <v>2.3809523809523808E-2</v>
      </c>
      <c r="T387" s="34">
        <f t="shared" si="27"/>
        <v>0</v>
      </c>
      <c r="U387" s="34">
        <f t="shared" si="27"/>
        <v>0.14285714285714285</v>
      </c>
    </row>
    <row r="388" spans="1:21" x14ac:dyDescent="0.25">
      <c r="A388" s="12" t="s">
        <v>5</v>
      </c>
      <c r="B388" s="34">
        <f t="shared" ref="B388:U388" si="28">B368/$V368</f>
        <v>2.1276595744680851E-2</v>
      </c>
      <c r="C388" s="34">
        <f t="shared" si="28"/>
        <v>0</v>
      </c>
      <c r="D388" s="34">
        <f t="shared" si="28"/>
        <v>0</v>
      </c>
      <c r="E388" s="34">
        <f t="shared" si="28"/>
        <v>0</v>
      </c>
      <c r="F388" s="34">
        <f t="shared" si="28"/>
        <v>0</v>
      </c>
      <c r="G388" s="34">
        <f t="shared" si="28"/>
        <v>2.1276595744680851E-2</v>
      </c>
      <c r="H388" s="34">
        <f t="shared" si="28"/>
        <v>0.14893617021276595</v>
      </c>
      <c r="I388" s="34">
        <f t="shared" si="28"/>
        <v>2.1276595744680851E-2</v>
      </c>
      <c r="J388" s="34">
        <f t="shared" si="28"/>
        <v>0.1276595744680851</v>
      </c>
      <c r="K388" s="34">
        <f t="shared" si="28"/>
        <v>8.5106382978723402E-2</v>
      </c>
      <c r="L388" s="34">
        <f t="shared" si="28"/>
        <v>0</v>
      </c>
      <c r="M388" s="34">
        <f t="shared" si="28"/>
        <v>0.10638297872340426</v>
      </c>
      <c r="N388" s="34">
        <f t="shared" si="28"/>
        <v>0.21276595744680851</v>
      </c>
      <c r="O388" s="34">
        <f t="shared" si="28"/>
        <v>0.1276595744680851</v>
      </c>
      <c r="P388" s="34">
        <f t="shared" si="28"/>
        <v>0</v>
      </c>
      <c r="Q388" s="34">
        <f t="shared" si="28"/>
        <v>4.2553191489361701E-2</v>
      </c>
      <c r="R388" s="34">
        <f t="shared" si="28"/>
        <v>2.1276595744680851E-2</v>
      </c>
      <c r="S388" s="34">
        <f t="shared" si="28"/>
        <v>4.2553191489361701E-2</v>
      </c>
      <c r="T388" s="34">
        <f t="shared" si="28"/>
        <v>2.1276595744680851E-2</v>
      </c>
      <c r="U388" s="34">
        <f t="shared" si="28"/>
        <v>0</v>
      </c>
    </row>
    <row r="389" spans="1:21" x14ac:dyDescent="0.25">
      <c r="A389" s="12" t="s">
        <v>8</v>
      </c>
      <c r="B389" s="34">
        <f t="shared" ref="B389:U389" si="29">B369/$V369</f>
        <v>0</v>
      </c>
      <c r="C389" s="34">
        <f t="shared" si="29"/>
        <v>0.13333333333333333</v>
      </c>
      <c r="D389" s="34">
        <f t="shared" si="29"/>
        <v>0.26666666666666666</v>
      </c>
      <c r="E389" s="34">
        <f t="shared" si="29"/>
        <v>6.6666666666666666E-2</v>
      </c>
      <c r="F389" s="34">
        <f t="shared" si="29"/>
        <v>0</v>
      </c>
      <c r="G389" s="34">
        <f t="shared" si="29"/>
        <v>0.13333333333333333</v>
      </c>
      <c r="H389" s="34">
        <f t="shared" si="29"/>
        <v>0</v>
      </c>
      <c r="I389" s="34">
        <f t="shared" si="29"/>
        <v>3.3333333333333333E-2</v>
      </c>
      <c r="J389" s="34">
        <f t="shared" si="29"/>
        <v>0</v>
      </c>
      <c r="K389" s="34">
        <f t="shared" si="29"/>
        <v>6.6666666666666666E-2</v>
      </c>
      <c r="L389" s="34">
        <f t="shared" si="29"/>
        <v>0</v>
      </c>
      <c r="M389" s="34">
        <f t="shared" si="29"/>
        <v>3.3333333333333333E-2</v>
      </c>
      <c r="N389" s="34">
        <f t="shared" si="29"/>
        <v>0.13333333333333333</v>
      </c>
      <c r="O389" s="34">
        <f t="shared" si="29"/>
        <v>0</v>
      </c>
      <c r="P389" s="34">
        <f t="shared" si="29"/>
        <v>0</v>
      </c>
      <c r="Q389" s="34">
        <f t="shared" si="29"/>
        <v>3.3333333333333333E-2</v>
      </c>
      <c r="R389" s="34">
        <f t="shared" si="29"/>
        <v>0</v>
      </c>
      <c r="S389" s="34">
        <f t="shared" si="29"/>
        <v>0</v>
      </c>
      <c r="T389" s="34">
        <f t="shared" si="29"/>
        <v>0.1</v>
      </c>
      <c r="U389" s="34">
        <f t="shared" si="29"/>
        <v>0</v>
      </c>
    </row>
    <row r="390" spans="1:21" x14ac:dyDescent="0.25">
      <c r="A390" s="12" t="s">
        <v>12</v>
      </c>
      <c r="B390" s="34">
        <f t="shared" ref="B390:U390" si="30">B370/$V370</f>
        <v>0</v>
      </c>
      <c r="C390" s="34">
        <f t="shared" si="30"/>
        <v>0</v>
      </c>
      <c r="D390" s="34">
        <f t="shared" si="30"/>
        <v>2.1276595744680851E-2</v>
      </c>
      <c r="E390" s="34">
        <f t="shared" si="30"/>
        <v>0.80851063829787229</v>
      </c>
      <c r="F390" s="34">
        <f t="shared" si="30"/>
        <v>0</v>
      </c>
      <c r="G390" s="34">
        <f t="shared" si="30"/>
        <v>0</v>
      </c>
      <c r="H390" s="34">
        <f t="shared" si="30"/>
        <v>0</v>
      </c>
      <c r="I390" s="34">
        <f t="shared" si="30"/>
        <v>2.1276595744680851E-2</v>
      </c>
      <c r="J390" s="34">
        <f t="shared" si="30"/>
        <v>4.2553191489361701E-2</v>
      </c>
      <c r="K390" s="34">
        <f t="shared" si="30"/>
        <v>0</v>
      </c>
      <c r="L390" s="34">
        <f t="shared" si="30"/>
        <v>0</v>
      </c>
      <c r="M390" s="34">
        <f t="shared" si="30"/>
        <v>0</v>
      </c>
      <c r="N390" s="34">
        <f t="shared" si="30"/>
        <v>0</v>
      </c>
      <c r="O390" s="34">
        <f t="shared" si="30"/>
        <v>2.1276595744680851E-2</v>
      </c>
      <c r="P390" s="34">
        <f t="shared" si="30"/>
        <v>0</v>
      </c>
      <c r="Q390" s="34">
        <f t="shared" si="30"/>
        <v>4.2553191489361701E-2</v>
      </c>
      <c r="R390" s="34">
        <f t="shared" si="30"/>
        <v>2.1276595744680851E-2</v>
      </c>
      <c r="S390" s="34">
        <f t="shared" si="30"/>
        <v>0</v>
      </c>
      <c r="T390" s="34">
        <f t="shared" si="30"/>
        <v>0</v>
      </c>
      <c r="U390" s="34">
        <f t="shared" si="30"/>
        <v>2.1276595744680851E-2</v>
      </c>
    </row>
    <row r="391" spans="1:21" x14ac:dyDescent="0.25">
      <c r="A391" s="12" t="s">
        <v>23</v>
      </c>
      <c r="B391" s="34">
        <f t="shared" ref="B391:U391" si="31">B371/$V371</f>
        <v>0</v>
      </c>
      <c r="C391" s="34">
        <f t="shared" si="31"/>
        <v>3.4482758620689655E-2</v>
      </c>
      <c r="D391" s="34">
        <f t="shared" si="31"/>
        <v>0.2413793103448276</v>
      </c>
      <c r="E391" s="34">
        <f t="shared" si="31"/>
        <v>0.13793103448275862</v>
      </c>
      <c r="F391" s="34">
        <f t="shared" si="31"/>
        <v>0</v>
      </c>
      <c r="G391" s="34">
        <f t="shared" si="31"/>
        <v>3.4482758620689655E-2</v>
      </c>
      <c r="H391" s="34">
        <f t="shared" si="31"/>
        <v>6.8965517241379309E-2</v>
      </c>
      <c r="I391" s="34">
        <f t="shared" si="31"/>
        <v>0</v>
      </c>
      <c r="J391" s="34">
        <f t="shared" si="31"/>
        <v>0</v>
      </c>
      <c r="K391" s="34">
        <f t="shared" si="31"/>
        <v>0</v>
      </c>
      <c r="L391" s="34">
        <f t="shared" si="31"/>
        <v>0</v>
      </c>
      <c r="M391" s="34">
        <f t="shared" si="31"/>
        <v>3.4482758620689655E-2</v>
      </c>
      <c r="N391" s="34">
        <f t="shared" si="31"/>
        <v>0</v>
      </c>
      <c r="O391" s="34">
        <f t="shared" si="31"/>
        <v>6.8965517241379309E-2</v>
      </c>
      <c r="P391" s="34">
        <f t="shared" si="31"/>
        <v>0</v>
      </c>
      <c r="Q391" s="34">
        <f t="shared" si="31"/>
        <v>3.4482758620689655E-2</v>
      </c>
      <c r="R391" s="34">
        <f t="shared" si="31"/>
        <v>0.17241379310344829</v>
      </c>
      <c r="S391" s="34">
        <f t="shared" si="31"/>
        <v>6.8965517241379309E-2</v>
      </c>
      <c r="T391" s="34">
        <f t="shared" si="31"/>
        <v>0</v>
      </c>
      <c r="U391" s="34">
        <f t="shared" si="31"/>
        <v>0.10344827586206896</v>
      </c>
    </row>
    <row r="392" spans="1:21" x14ac:dyDescent="0.25">
      <c r="A392" s="12" t="s">
        <v>11</v>
      </c>
      <c r="B392" s="34">
        <f t="shared" ref="B392:U392" si="32">B372/$V372</f>
        <v>0</v>
      </c>
      <c r="C392" s="34">
        <f t="shared" si="32"/>
        <v>0</v>
      </c>
      <c r="D392" s="34">
        <f t="shared" si="32"/>
        <v>0</v>
      </c>
      <c r="E392" s="34">
        <f t="shared" si="32"/>
        <v>0</v>
      </c>
      <c r="F392" s="34">
        <f t="shared" si="32"/>
        <v>0</v>
      </c>
      <c r="G392" s="34">
        <f t="shared" si="32"/>
        <v>0</v>
      </c>
      <c r="H392" s="34">
        <f t="shared" si="32"/>
        <v>0</v>
      </c>
      <c r="I392" s="34">
        <f t="shared" si="32"/>
        <v>0.84615384615384615</v>
      </c>
      <c r="J392" s="34">
        <f t="shared" si="32"/>
        <v>0</v>
      </c>
      <c r="K392" s="34">
        <f t="shared" si="32"/>
        <v>0</v>
      </c>
      <c r="L392" s="34">
        <f t="shared" si="32"/>
        <v>0</v>
      </c>
      <c r="M392" s="34">
        <f t="shared" si="32"/>
        <v>3.8461538461538464E-2</v>
      </c>
      <c r="N392" s="34">
        <f t="shared" si="32"/>
        <v>0</v>
      </c>
      <c r="O392" s="34">
        <f t="shared" si="32"/>
        <v>0</v>
      </c>
      <c r="P392" s="34">
        <f t="shared" si="32"/>
        <v>0</v>
      </c>
      <c r="Q392" s="34">
        <f t="shared" si="32"/>
        <v>0</v>
      </c>
      <c r="R392" s="34">
        <f t="shared" si="32"/>
        <v>0</v>
      </c>
      <c r="S392" s="34">
        <f t="shared" si="32"/>
        <v>0</v>
      </c>
      <c r="T392" s="34">
        <f t="shared" si="32"/>
        <v>3.8461538461538464E-2</v>
      </c>
      <c r="U392" s="34">
        <f t="shared" si="32"/>
        <v>7.6923076923076927E-2</v>
      </c>
    </row>
    <row r="393" spans="1:21" x14ac:dyDescent="0.25">
      <c r="A393" s="12" t="s">
        <v>9</v>
      </c>
      <c r="B393" s="34">
        <f t="shared" ref="B393:U393" si="33">B373/$V373</f>
        <v>4.1666666666666664E-2</v>
      </c>
      <c r="C393" s="34">
        <f t="shared" si="33"/>
        <v>8.3333333333333329E-2</v>
      </c>
      <c r="D393" s="34">
        <f t="shared" si="33"/>
        <v>8.3333333333333329E-2</v>
      </c>
      <c r="E393" s="34">
        <f t="shared" si="33"/>
        <v>0</v>
      </c>
      <c r="F393" s="34">
        <f t="shared" si="33"/>
        <v>0</v>
      </c>
      <c r="G393" s="34">
        <f t="shared" si="33"/>
        <v>0.33333333333333331</v>
      </c>
      <c r="H393" s="34">
        <f t="shared" si="33"/>
        <v>4.1666666666666664E-2</v>
      </c>
      <c r="I393" s="34">
        <f t="shared" si="33"/>
        <v>8.3333333333333329E-2</v>
      </c>
      <c r="J393" s="34">
        <f t="shared" si="33"/>
        <v>8.3333333333333329E-2</v>
      </c>
      <c r="K393" s="34">
        <f t="shared" si="33"/>
        <v>0</v>
      </c>
      <c r="L393" s="34">
        <f t="shared" si="33"/>
        <v>0</v>
      </c>
      <c r="M393" s="34">
        <f t="shared" si="33"/>
        <v>4.1666666666666664E-2</v>
      </c>
      <c r="N393" s="34">
        <f t="shared" si="33"/>
        <v>4.1666666666666664E-2</v>
      </c>
      <c r="O393" s="34">
        <f t="shared" si="33"/>
        <v>0</v>
      </c>
      <c r="P393" s="34">
        <f t="shared" si="33"/>
        <v>0</v>
      </c>
      <c r="Q393" s="34">
        <f t="shared" si="33"/>
        <v>4.1666666666666664E-2</v>
      </c>
      <c r="R393" s="34">
        <f t="shared" si="33"/>
        <v>8.3333333333333329E-2</v>
      </c>
      <c r="S393" s="34">
        <f t="shared" si="33"/>
        <v>0</v>
      </c>
      <c r="T393" s="34">
        <f t="shared" si="33"/>
        <v>0</v>
      </c>
      <c r="U393" s="34">
        <f t="shared" si="33"/>
        <v>4.1666666666666664E-2</v>
      </c>
    </row>
    <row r="394" spans="1:21" x14ac:dyDescent="0.25">
      <c r="A394" s="12" t="s">
        <v>24</v>
      </c>
      <c r="B394" s="34">
        <f t="shared" ref="B394:U394" si="34">B374/$V374</f>
        <v>5.2631578947368418E-2</v>
      </c>
      <c r="C394" s="34">
        <f t="shared" si="34"/>
        <v>0</v>
      </c>
      <c r="D394" s="34">
        <f t="shared" si="34"/>
        <v>0.10526315789473684</v>
      </c>
      <c r="E394" s="34">
        <f t="shared" si="34"/>
        <v>0</v>
      </c>
      <c r="F394" s="34">
        <f t="shared" si="34"/>
        <v>0</v>
      </c>
      <c r="G394" s="34">
        <f t="shared" si="34"/>
        <v>0</v>
      </c>
      <c r="H394" s="34">
        <f t="shared" si="34"/>
        <v>0</v>
      </c>
      <c r="I394" s="34">
        <f t="shared" si="34"/>
        <v>0.15789473684210525</v>
      </c>
      <c r="J394" s="34">
        <f t="shared" si="34"/>
        <v>5.2631578947368418E-2</v>
      </c>
      <c r="K394" s="34">
        <f t="shared" si="34"/>
        <v>0.10526315789473684</v>
      </c>
      <c r="L394" s="34">
        <f t="shared" si="34"/>
        <v>0</v>
      </c>
      <c r="M394" s="34">
        <f t="shared" si="34"/>
        <v>0</v>
      </c>
      <c r="N394" s="34">
        <f t="shared" si="34"/>
        <v>0</v>
      </c>
      <c r="O394" s="34">
        <f t="shared" si="34"/>
        <v>0</v>
      </c>
      <c r="P394" s="34">
        <f t="shared" si="34"/>
        <v>0</v>
      </c>
      <c r="Q394" s="34">
        <f t="shared" si="34"/>
        <v>0.10526315789473684</v>
      </c>
      <c r="R394" s="34">
        <f t="shared" si="34"/>
        <v>0.26315789473684209</v>
      </c>
      <c r="S394" s="34">
        <f t="shared" si="34"/>
        <v>5.2631578947368418E-2</v>
      </c>
      <c r="T394" s="34">
        <f t="shared" si="34"/>
        <v>5.2631578947368418E-2</v>
      </c>
      <c r="U394" s="34">
        <f t="shared" si="34"/>
        <v>5.2631578947368418E-2</v>
      </c>
    </row>
    <row r="395" spans="1:21" x14ac:dyDescent="0.25">
      <c r="A395" s="12" t="s">
        <v>26</v>
      </c>
      <c r="B395" s="34">
        <f t="shared" ref="B395:U395" si="35">B375/$V375</f>
        <v>0</v>
      </c>
      <c r="C395" s="34">
        <f t="shared" si="35"/>
        <v>0</v>
      </c>
      <c r="D395" s="34">
        <f t="shared" si="35"/>
        <v>0</v>
      </c>
      <c r="E395" s="34">
        <f t="shared" si="35"/>
        <v>0</v>
      </c>
      <c r="F395" s="34">
        <f t="shared" si="35"/>
        <v>0</v>
      </c>
      <c r="G395" s="34">
        <f t="shared" si="35"/>
        <v>0</v>
      </c>
      <c r="H395" s="34">
        <f t="shared" si="35"/>
        <v>0</v>
      </c>
      <c r="I395" s="34">
        <f t="shared" si="35"/>
        <v>0.14285714285714285</v>
      </c>
      <c r="J395" s="34">
        <f t="shared" si="35"/>
        <v>0.2857142857142857</v>
      </c>
      <c r="K395" s="34">
        <f t="shared" si="35"/>
        <v>0</v>
      </c>
      <c r="L395" s="34">
        <f t="shared" si="35"/>
        <v>0</v>
      </c>
      <c r="M395" s="34">
        <f t="shared" si="35"/>
        <v>0</v>
      </c>
      <c r="N395" s="34">
        <f t="shared" si="35"/>
        <v>0</v>
      </c>
      <c r="O395" s="34">
        <f t="shared" si="35"/>
        <v>0</v>
      </c>
      <c r="P395" s="34">
        <f t="shared" si="35"/>
        <v>0</v>
      </c>
      <c r="Q395" s="34">
        <f t="shared" si="35"/>
        <v>0.42857142857142855</v>
      </c>
      <c r="R395" s="34">
        <f t="shared" si="35"/>
        <v>0.14285714285714285</v>
      </c>
      <c r="S395" s="34">
        <f t="shared" si="35"/>
        <v>0</v>
      </c>
      <c r="T395" s="34">
        <f t="shared" si="35"/>
        <v>0</v>
      </c>
      <c r="U395" s="34">
        <f t="shared" si="35"/>
        <v>0</v>
      </c>
    </row>
    <row r="396" spans="1:21" x14ac:dyDescent="0.25">
      <c r="A396" s="12" t="s">
        <v>7</v>
      </c>
      <c r="B396" s="34">
        <f t="shared" ref="B396:U396" si="36">B376/$V376</f>
        <v>0</v>
      </c>
      <c r="C396" s="34">
        <f t="shared" si="36"/>
        <v>8.8235294117647065E-2</v>
      </c>
      <c r="D396" s="34">
        <f t="shared" si="36"/>
        <v>0</v>
      </c>
      <c r="E396" s="34">
        <f t="shared" si="36"/>
        <v>5.8823529411764705E-2</v>
      </c>
      <c r="F396" s="34">
        <f t="shared" si="36"/>
        <v>0.23529411764705882</v>
      </c>
      <c r="G396" s="34">
        <f t="shared" si="36"/>
        <v>0</v>
      </c>
      <c r="H396" s="34">
        <f t="shared" si="36"/>
        <v>2.9411764705882353E-2</v>
      </c>
      <c r="I396" s="34">
        <f t="shared" si="36"/>
        <v>0</v>
      </c>
      <c r="J396" s="34">
        <f t="shared" si="36"/>
        <v>0</v>
      </c>
      <c r="K396" s="34">
        <f t="shared" si="36"/>
        <v>2.9411764705882353E-2</v>
      </c>
      <c r="L396" s="34">
        <f t="shared" si="36"/>
        <v>0</v>
      </c>
      <c r="M396" s="34">
        <f t="shared" si="36"/>
        <v>0.29411764705882354</v>
      </c>
      <c r="N396" s="34">
        <f t="shared" si="36"/>
        <v>0</v>
      </c>
      <c r="O396" s="34">
        <f t="shared" si="36"/>
        <v>0</v>
      </c>
      <c r="P396" s="34">
        <f t="shared" si="36"/>
        <v>0</v>
      </c>
      <c r="Q396" s="34">
        <f t="shared" si="36"/>
        <v>0.23529411764705882</v>
      </c>
      <c r="R396" s="34">
        <f t="shared" si="36"/>
        <v>0</v>
      </c>
      <c r="S396" s="34">
        <f t="shared" si="36"/>
        <v>0</v>
      </c>
      <c r="T396" s="34">
        <f t="shared" si="36"/>
        <v>2.9411764705882353E-2</v>
      </c>
      <c r="U396" s="34">
        <f t="shared" si="36"/>
        <v>0</v>
      </c>
    </row>
    <row r="397" spans="1:21" x14ac:dyDescent="0.25">
      <c r="A397" s="12" t="s">
        <v>10</v>
      </c>
      <c r="B397" s="34">
        <f t="shared" ref="B397:U397" si="37">B377/$V377</f>
        <v>0</v>
      </c>
      <c r="C397" s="34">
        <f t="shared" si="37"/>
        <v>0</v>
      </c>
      <c r="D397" s="34">
        <f t="shared" si="37"/>
        <v>0</v>
      </c>
      <c r="E397" s="34">
        <f t="shared" si="37"/>
        <v>0</v>
      </c>
      <c r="F397" s="34">
        <f t="shared" si="37"/>
        <v>0</v>
      </c>
      <c r="G397" s="34">
        <f t="shared" si="37"/>
        <v>0</v>
      </c>
      <c r="H397" s="34">
        <f t="shared" si="37"/>
        <v>0</v>
      </c>
      <c r="I397" s="34">
        <f t="shared" si="37"/>
        <v>0.25</v>
      </c>
      <c r="J397" s="34">
        <f t="shared" si="37"/>
        <v>0</v>
      </c>
      <c r="K397" s="34">
        <f t="shared" si="37"/>
        <v>0</v>
      </c>
      <c r="L397" s="34">
        <f t="shared" si="37"/>
        <v>0</v>
      </c>
      <c r="M397" s="34">
        <f t="shared" si="37"/>
        <v>0</v>
      </c>
      <c r="N397" s="34">
        <f t="shared" si="37"/>
        <v>0</v>
      </c>
      <c r="O397" s="34">
        <f t="shared" si="37"/>
        <v>0</v>
      </c>
      <c r="P397" s="34">
        <f t="shared" si="37"/>
        <v>0</v>
      </c>
      <c r="Q397" s="34">
        <f t="shared" si="37"/>
        <v>0</v>
      </c>
      <c r="R397" s="34">
        <f t="shared" si="37"/>
        <v>0.25</v>
      </c>
      <c r="S397" s="34">
        <f t="shared" si="37"/>
        <v>0.5</v>
      </c>
      <c r="T397" s="34">
        <f t="shared" si="37"/>
        <v>0</v>
      </c>
      <c r="U397" s="34">
        <f t="shared" si="37"/>
        <v>0</v>
      </c>
    </row>
    <row r="398" spans="1:21" x14ac:dyDescent="0.25">
      <c r="B398" s="34">
        <f>SUM(B382:B397)</f>
        <v>0.44079723800968401</v>
      </c>
      <c r="C398" s="34">
        <f t="shared" ref="C398:U398" si="38">SUM(C382:C397)</f>
        <v>0.70678398680427079</v>
      </c>
      <c r="D398" s="34">
        <f t="shared" si="38"/>
        <v>0.87143380321327024</v>
      </c>
      <c r="E398" s="34">
        <f t="shared" si="38"/>
        <v>1.1127481953896745</v>
      </c>
      <c r="F398" s="34">
        <f t="shared" si="38"/>
        <v>0.30696688931983052</v>
      </c>
      <c r="G398" s="34">
        <f t="shared" si="38"/>
        <v>0.6625969612029774</v>
      </c>
      <c r="H398" s="34">
        <f t="shared" si="38"/>
        <v>0.62257509527881361</v>
      </c>
      <c r="I398" s="34">
        <f t="shared" si="38"/>
        <v>1.6926509633916449</v>
      </c>
      <c r="J398" s="34">
        <f t="shared" si="38"/>
        <v>0.64317401523448559</v>
      </c>
      <c r="K398" s="34">
        <f t="shared" si="38"/>
        <v>0.46401643552875821</v>
      </c>
      <c r="L398" s="34">
        <f t="shared" si="38"/>
        <v>5.128205128205128E-2</v>
      </c>
      <c r="M398" s="34">
        <f t="shared" si="38"/>
        <v>1.7362697964036158</v>
      </c>
      <c r="N398" s="34">
        <f t="shared" si="38"/>
        <v>0.46127023095108205</v>
      </c>
      <c r="O398" s="34">
        <f t="shared" si="38"/>
        <v>0.54992680519354864</v>
      </c>
      <c r="P398" s="34">
        <f t="shared" si="38"/>
        <v>0.30737833594976455</v>
      </c>
      <c r="Q398" s="34">
        <f t="shared" si="38"/>
        <v>1.0919229739177656</v>
      </c>
      <c r="R398" s="34">
        <f t="shared" si="38"/>
        <v>2.2760666201285358</v>
      </c>
      <c r="S398" s="34">
        <f t="shared" si="38"/>
        <v>0.79523349018988343</v>
      </c>
      <c r="T398" s="34">
        <f t="shared" si="38"/>
        <v>0.65357286107942481</v>
      </c>
      <c r="U398" s="34">
        <f t="shared" si="38"/>
        <v>0.55333325153091906</v>
      </c>
    </row>
    <row r="401" spans="1:2" x14ac:dyDescent="0.25">
      <c r="A401" s="3" t="s">
        <v>206</v>
      </c>
    </row>
    <row r="402" spans="1:2" x14ac:dyDescent="0.25">
      <c r="A402" s="28" t="s">
        <v>169</v>
      </c>
      <c r="B402" s="1" t="s">
        <v>139</v>
      </c>
    </row>
    <row r="403" spans="1:2" x14ac:dyDescent="0.25">
      <c r="A403" s="28" t="s">
        <v>171</v>
      </c>
      <c r="B403" s="1" t="s">
        <v>117</v>
      </c>
    </row>
    <row r="404" spans="1:2" x14ac:dyDescent="0.25">
      <c r="A404" s="28" t="s">
        <v>165</v>
      </c>
      <c r="B404" s="1" t="s">
        <v>119</v>
      </c>
    </row>
    <row r="405" spans="1:2" x14ac:dyDescent="0.25">
      <c r="A405" s="28" t="s">
        <v>176</v>
      </c>
      <c r="B405" s="1" t="s">
        <v>114</v>
      </c>
    </row>
    <row r="406" spans="1:2" x14ac:dyDescent="0.25">
      <c r="A406" s="28" t="s">
        <v>174</v>
      </c>
      <c r="B406" s="1" t="s">
        <v>141</v>
      </c>
    </row>
    <row r="407" spans="1:2" x14ac:dyDescent="0.25">
      <c r="A407" s="28" t="s">
        <v>168</v>
      </c>
      <c r="B407" s="1" t="s">
        <v>118</v>
      </c>
    </row>
    <row r="408" spans="1:2" x14ac:dyDescent="0.25">
      <c r="A408" s="28" t="s">
        <v>181</v>
      </c>
      <c r="B408" s="1" t="s">
        <v>121</v>
      </c>
    </row>
    <row r="409" spans="1:2" x14ac:dyDescent="0.25">
      <c r="A409" s="28" t="s">
        <v>173</v>
      </c>
      <c r="B409" s="1" t="s">
        <v>122</v>
      </c>
    </row>
    <row r="410" spans="1:2" x14ac:dyDescent="0.25">
      <c r="A410" s="28" t="s">
        <v>175</v>
      </c>
      <c r="B410" s="1" t="s">
        <v>138</v>
      </c>
    </row>
    <row r="411" spans="1:2" x14ac:dyDescent="0.25">
      <c r="A411" s="28" t="s">
        <v>166</v>
      </c>
      <c r="B411" s="1" t="s">
        <v>205</v>
      </c>
    </row>
    <row r="412" spans="1:2" x14ac:dyDescent="0.25">
      <c r="A412" s="28" t="s">
        <v>178</v>
      </c>
      <c r="B412" s="1" t="s">
        <v>204</v>
      </c>
    </row>
    <row r="413" spans="1:2" x14ac:dyDescent="0.25">
      <c r="A413" s="28" t="s">
        <v>164</v>
      </c>
      <c r="B413" s="1" t="s">
        <v>116</v>
      </c>
    </row>
    <row r="414" spans="1:2" x14ac:dyDescent="0.25">
      <c r="A414" s="28" t="s">
        <v>167</v>
      </c>
      <c r="B414" s="1" t="s">
        <v>110</v>
      </c>
    </row>
    <row r="415" spans="1:2" x14ac:dyDescent="0.25">
      <c r="A415" s="28" t="s">
        <v>170</v>
      </c>
      <c r="B415" s="1" t="s">
        <v>142</v>
      </c>
    </row>
    <row r="416" spans="1:2" x14ac:dyDescent="0.25">
      <c r="A416" s="28" t="s">
        <v>177</v>
      </c>
      <c r="B416" s="1" t="s">
        <v>113</v>
      </c>
    </row>
    <row r="417" spans="1:2" x14ac:dyDescent="0.25">
      <c r="A417" s="28" t="s">
        <v>162</v>
      </c>
      <c r="B417" s="1" t="s">
        <v>111</v>
      </c>
    </row>
    <row r="418" spans="1:2" x14ac:dyDescent="0.25">
      <c r="A418" s="28" t="s">
        <v>172</v>
      </c>
      <c r="B418" s="1" t="s">
        <v>120</v>
      </c>
    </row>
    <row r="419" spans="1:2" x14ac:dyDescent="0.25">
      <c r="A419" s="28" t="s">
        <v>180</v>
      </c>
      <c r="B419" s="1" t="s">
        <v>115</v>
      </c>
    </row>
    <row r="420" spans="1:2" x14ac:dyDescent="0.25">
      <c r="A420" s="28" t="s">
        <v>179</v>
      </c>
      <c r="B420" s="1" t="s">
        <v>112</v>
      </c>
    </row>
    <row r="421" spans="1:2" x14ac:dyDescent="0.25">
      <c r="A421" s="28" t="s">
        <v>163</v>
      </c>
      <c r="B421" s="1" t="s">
        <v>140</v>
      </c>
    </row>
  </sheetData>
  <mergeCells count="3">
    <mergeCell ref="M29:N32"/>
    <mergeCell ref="M28:N28"/>
    <mergeCell ref="B127:Q1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28</xdr:row>
                    <xdr:rowOff>114300</xdr:rowOff>
                  </from>
                  <to>
                    <xdr:col>13</xdr:col>
                    <xdr:colOff>342900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K17"/>
  <sheetViews>
    <sheetView workbookViewId="0">
      <selection activeCell="H33" sqref="H33"/>
    </sheetView>
  </sheetViews>
  <sheetFormatPr defaultRowHeight="15" x14ac:dyDescent="0.25"/>
  <cols>
    <col min="7" max="7" width="52.7109375" bestFit="1" customWidth="1"/>
    <col min="8" max="8" width="42.42578125" bestFit="1" customWidth="1"/>
    <col min="9" max="10" width="44.28515625" bestFit="1" customWidth="1"/>
  </cols>
  <sheetData>
    <row r="1" spans="1:11" x14ac:dyDescent="0.25">
      <c r="A1" s="17" t="s">
        <v>27</v>
      </c>
      <c r="B1" s="17" t="s">
        <v>63</v>
      </c>
      <c r="C1" s="17" t="s">
        <v>80</v>
      </c>
      <c r="D1" s="17" t="s">
        <v>103</v>
      </c>
      <c r="E1" s="17" t="s">
        <v>101</v>
      </c>
      <c r="F1" s="17" t="s">
        <v>104</v>
      </c>
      <c r="G1" s="17" t="s">
        <v>102</v>
      </c>
      <c r="H1" s="17" t="s">
        <v>109</v>
      </c>
      <c r="I1" s="17" t="s">
        <v>136</v>
      </c>
      <c r="J1" s="17" t="s">
        <v>137</v>
      </c>
      <c r="K1" s="17" t="s">
        <v>143</v>
      </c>
    </row>
    <row r="2" spans="1:11" x14ac:dyDescent="0.25">
      <c r="A2" t="s">
        <v>3</v>
      </c>
      <c r="B2" t="s">
        <v>64</v>
      </c>
      <c r="C2" t="s">
        <v>81</v>
      </c>
      <c r="D2" t="s">
        <v>97</v>
      </c>
      <c r="F2">
        <v>45</v>
      </c>
      <c r="G2" t="s">
        <v>107</v>
      </c>
      <c r="H2" t="s">
        <v>117</v>
      </c>
      <c r="I2" t="s">
        <v>205</v>
      </c>
      <c r="J2" t="s">
        <v>119</v>
      </c>
      <c r="K2" t="s">
        <v>144</v>
      </c>
    </row>
    <row r="3" spans="1:11" x14ac:dyDescent="0.25">
      <c r="A3" t="s">
        <v>18</v>
      </c>
      <c r="B3" t="s">
        <v>65</v>
      </c>
      <c r="C3" s="28" t="s">
        <v>82</v>
      </c>
      <c r="D3" t="s">
        <v>95</v>
      </c>
      <c r="F3">
        <v>9</v>
      </c>
      <c r="G3" t="s">
        <v>123</v>
      </c>
      <c r="H3" t="s">
        <v>116</v>
      </c>
      <c r="I3" t="s">
        <v>116</v>
      </c>
      <c r="J3" t="s">
        <v>116</v>
      </c>
      <c r="K3" t="s">
        <v>145</v>
      </c>
    </row>
    <row r="4" spans="1:11" x14ac:dyDescent="0.25">
      <c r="A4" t="s">
        <v>16</v>
      </c>
      <c r="B4" t="s">
        <v>66</v>
      </c>
      <c r="C4" s="28" t="s">
        <v>83</v>
      </c>
      <c r="D4" t="s">
        <v>96</v>
      </c>
      <c r="F4">
        <v>39</v>
      </c>
      <c r="G4" t="s">
        <v>124</v>
      </c>
      <c r="H4" t="s">
        <v>120</v>
      </c>
      <c r="I4" t="s">
        <v>139</v>
      </c>
      <c r="J4" t="s">
        <v>117</v>
      </c>
      <c r="K4" t="s">
        <v>146</v>
      </c>
    </row>
    <row r="5" spans="1:11" x14ac:dyDescent="0.25">
      <c r="A5" t="s">
        <v>22</v>
      </c>
      <c r="B5" t="s">
        <v>67</v>
      </c>
      <c r="C5" t="s">
        <v>84</v>
      </c>
      <c r="D5" t="s">
        <v>95</v>
      </c>
      <c r="F5">
        <v>39</v>
      </c>
      <c r="G5" t="s">
        <v>105</v>
      </c>
      <c r="H5" t="s">
        <v>113</v>
      </c>
      <c r="I5" t="s">
        <v>111</v>
      </c>
      <c r="J5" t="s">
        <v>116</v>
      </c>
      <c r="K5" t="s">
        <v>147</v>
      </c>
    </row>
    <row r="6" spans="1:11" x14ac:dyDescent="0.25">
      <c r="A6" t="s">
        <v>4</v>
      </c>
      <c r="B6" t="s">
        <v>68</v>
      </c>
      <c r="C6" t="s">
        <v>85</v>
      </c>
      <c r="D6" t="s">
        <v>108</v>
      </c>
      <c r="F6">
        <v>49</v>
      </c>
      <c r="G6" t="s">
        <v>132</v>
      </c>
      <c r="H6" t="s">
        <v>112</v>
      </c>
      <c r="I6" t="s">
        <v>139</v>
      </c>
      <c r="J6" t="s">
        <v>115</v>
      </c>
      <c r="K6" t="s">
        <v>148</v>
      </c>
    </row>
    <row r="7" spans="1:11" x14ac:dyDescent="0.25">
      <c r="A7" t="s">
        <v>6</v>
      </c>
      <c r="B7" t="s">
        <v>69</v>
      </c>
      <c r="C7" t="s">
        <v>86</v>
      </c>
      <c r="D7" t="s">
        <v>96</v>
      </c>
      <c r="F7">
        <v>42</v>
      </c>
      <c r="G7" t="s">
        <v>106</v>
      </c>
      <c r="H7" t="s">
        <v>121</v>
      </c>
      <c r="I7" t="s">
        <v>120</v>
      </c>
      <c r="J7" t="s">
        <v>142</v>
      </c>
      <c r="K7" t="s">
        <v>149</v>
      </c>
    </row>
    <row r="8" spans="1:11" x14ac:dyDescent="0.25">
      <c r="A8" t="s">
        <v>5</v>
      </c>
      <c r="B8" t="s">
        <v>70</v>
      </c>
      <c r="C8" t="s">
        <v>87</v>
      </c>
      <c r="D8" t="s">
        <v>98</v>
      </c>
      <c r="F8">
        <v>47</v>
      </c>
      <c r="G8" t="s">
        <v>125</v>
      </c>
      <c r="H8" t="s">
        <v>110</v>
      </c>
      <c r="I8" t="s">
        <v>121</v>
      </c>
      <c r="J8" t="s">
        <v>138</v>
      </c>
      <c r="K8" t="s">
        <v>150</v>
      </c>
    </row>
    <row r="9" spans="1:11" x14ac:dyDescent="0.25">
      <c r="A9" t="s">
        <v>8</v>
      </c>
      <c r="B9" t="s">
        <v>71</v>
      </c>
      <c r="C9" s="28" t="s">
        <v>8</v>
      </c>
      <c r="D9" t="s">
        <v>97</v>
      </c>
      <c r="F9">
        <v>30</v>
      </c>
      <c r="G9" t="s">
        <v>126</v>
      </c>
      <c r="H9" t="s">
        <v>119</v>
      </c>
      <c r="I9" t="s">
        <v>117</v>
      </c>
      <c r="J9" t="s">
        <v>118</v>
      </c>
      <c r="K9" t="s">
        <v>151</v>
      </c>
    </row>
    <row r="10" spans="1:11" x14ac:dyDescent="0.25">
      <c r="A10" t="s">
        <v>12</v>
      </c>
      <c r="B10" t="s">
        <v>72</v>
      </c>
      <c r="C10" s="28" t="s">
        <v>88</v>
      </c>
      <c r="D10" t="s">
        <v>97</v>
      </c>
      <c r="F10">
        <v>48</v>
      </c>
      <c r="G10" t="s">
        <v>127</v>
      </c>
      <c r="H10" t="s">
        <v>114</v>
      </c>
      <c r="I10" t="s">
        <v>138</v>
      </c>
      <c r="J10" t="s">
        <v>111</v>
      </c>
      <c r="K10" t="s">
        <v>152</v>
      </c>
    </row>
    <row r="11" spans="1:11" x14ac:dyDescent="0.25">
      <c r="A11" t="s">
        <v>23</v>
      </c>
      <c r="B11" t="s">
        <v>73</v>
      </c>
      <c r="C11" s="28" t="s">
        <v>89</v>
      </c>
      <c r="D11" t="s">
        <v>108</v>
      </c>
      <c r="F11">
        <v>29</v>
      </c>
      <c r="G11" t="s">
        <v>133</v>
      </c>
      <c r="H11" t="s">
        <v>119</v>
      </c>
      <c r="I11" t="s">
        <v>120</v>
      </c>
      <c r="J11" t="s">
        <v>114</v>
      </c>
      <c r="K11" t="s">
        <v>153</v>
      </c>
    </row>
    <row r="12" spans="1:11" x14ac:dyDescent="0.25">
      <c r="A12" t="s">
        <v>11</v>
      </c>
      <c r="B12" t="s">
        <v>74</v>
      </c>
      <c r="C12" s="28" t="s">
        <v>90</v>
      </c>
      <c r="D12" t="s">
        <v>100</v>
      </c>
      <c r="F12">
        <v>26</v>
      </c>
      <c r="G12" t="s">
        <v>128</v>
      </c>
      <c r="H12" t="s">
        <v>122</v>
      </c>
      <c r="I12" t="s">
        <v>140</v>
      </c>
      <c r="J12" t="s">
        <v>116</v>
      </c>
      <c r="K12" t="s">
        <v>154</v>
      </c>
    </row>
    <row r="13" spans="1:11" x14ac:dyDescent="0.25">
      <c r="A13" t="s">
        <v>9</v>
      </c>
      <c r="B13" t="s">
        <v>75</v>
      </c>
      <c r="C13" s="28" t="s">
        <v>9</v>
      </c>
      <c r="D13" t="s">
        <v>97</v>
      </c>
      <c r="F13">
        <v>24</v>
      </c>
      <c r="G13" t="s">
        <v>129</v>
      </c>
      <c r="H13" t="s">
        <v>118</v>
      </c>
      <c r="I13" t="s">
        <v>117</v>
      </c>
      <c r="J13" t="s">
        <v>119</v>
      </c>
      <c r="K13" t="s">
        <v>155</v>
      </c>
    </row>
    <row r="14" spans="1:11" x14ac:dyDescent="0.25">
      <c r="A14" t="s">
        <v>24</v>
      </c>
      <c r="B14" t="s">
        <v>76</v>
      </c>
      <c r="C14" s="28" t="s">
        <v>91</v>
      </c>
      <c r="D14" t="s">
        <v>99</v>
      </c>
      <c r="F14">
        <v>19</v>
      </c>
      <c r="G14" t="s">
        <v>134</v>
      </c>
      <c r="H14" t="s">
        <v>120</v>
      </c>
      <c r="I14" t="s">
        <v>122</v>
      </c>
      <c r="J14" t="s">
        <v>119</v>
      </c>
      <c r="K14" t="s">
        <v>156</v>
      </c>
    </row>
    <row r="15" spans="1:11" x14ac:dyDescent="0.25">
      <c r="A15" t="s">
        <v>26</v>
      </c>
      <c r="B15" t="s">
        <v>77</v>
      </c>
      <c r="C15" s="28" t="s">
        <v>92</v>
      </c>
      <c r="D15" t="s">
        <v>98</v>
      </c>
      <c r="F15">
        <v>7</v>
      </c>
      <c r="G15" t="s">
        <v>135</v>
      </c>
      <c r="H15" t="s">
        <v>111</v>
      </c>
      <c r="I15" t="s">
        <v>138</v>
      </c>
      <c r="J15" t="s">
        <v>122</v>
      </c>
      <c r="K15" t="s">
        <v>157</v>
      </c>
    </row>
    <row r="16" spans="1:11" x14ac:dyDescent="0.25">
      <c r="A16" t="s">
        <v>7</v>
      </c>
      <c r="B16" t="s">
        <v>78</v>
      </c>
      <c r="C16" s="28" t="s">
        <v>94</v>
      </c>
      <c r="D16" t="s">
        <v>160</v>
      </c>
      <c r="F16">
        <v>34</v>
      </c>
      <c r="G16" t="s">
        <v>130</v>
      </c>
      <c r="H16" t="s">
        <v>116</v>
      </c>
      <c r="I16" t="s">
        <v>141</v>
      </c>
      <c r="J16" t="s">
        <v>111</v>
      </c>
      <c r="K16" t="s">
        <v>158</v>
      </c>
    </row>
    <row r="17" spans="1:11" x14ac:dyDescent="0.25">
      <c r="A17" t="s">
        <v>10</v>
      </c>
      <c r="B17" t="s">
        <v>79</v>
      </c>
      <c r="C17" s="28" t="s">
        <v>93</v>
      </c>
      <c r="D17" t="s">
        <v>96</v>
      </c>
      <c r="F17">
        <v>4</v>
      </c>
      <c r="G17" t="s">
        <v>131</v>
      </c>
      <c r="H17" t="s">
        <v>115</v>
      </c>
      <c r="I17" t="s">
        <v>122</v>
      </c>
      <c r="J17" t="s">
        <v>120</v>
      </c>
      <c r="K17" t="s">
        <v>159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D17"/>
  <sheetViews>
    <sheetView tabSelected="1" workbookViewId="0">
      <selection activeCell="A2" sqref="A2:D17"/>
    </sheetView>
  </sheetViews>
  <sheetFormatPr defaultRowHeight="15" x14ac:dyDescent="0.25"/>
  <sheetData>
    <row r="1" spans="1:4" x14ac:dyDescent="0.25">
      <c r="A1" s="17" t="s">
        <v>27</v>
      </c>
      <c r="B1" s="17" t="s">
        <v>28</v>
      </c>
      <c r="C1" s="17" t="s">
        <v>30</v>
      </c>
      <c r="D1" s="17" t="s">
        <v>31</v>
      </c>
    </row>
    <row r="2" spans="1:4" x14ac:dyDescent="0.25">
      <c r="A2" t="s">
        <v>3</v>
      </c>
      <c r="B2" s="6">
        <v>0.55555555555555558</v>
      </c>
      <c r="C2">
        <v>25</v>
      </c>
      <c r="D2">
        <v>45</v>
      </c>
    </row>
    <row r="3" spans="1:4" x14ac:dyDescent="0.25">
      <c r="A3" t="s">
        <v>18</v>
      </c>
      <c r="B3" s="6">
        <v>0.33333333333333331</v>
      </c>
      <c r="C3">
        <v>3</v>
      </c>
      <c r="D3">
        <v>9</v>
      </c>
    </row>
    <row r="4" spans="1:4" x14ac:dyDescent="0.25">
      <c r="A4" t="s">
        <v>16</v>
      </c>
      <c r="B4" s="6">
        <v>0.4358974358974359</v>
      </c>
      <c r="C4">
        <v>17</v>
      </c>
      <c r="D4">
        <v>39</v>
      </c>
    </row>
    <row r="5" spans="1:4" x14ac:dyDescent="0.25">
      <c r="A5" t="s">
        <v>22</v>
      </c>
      <c r="B5" s="6">
        <v>0.46153846153846156</v>
      </c>
      <c r="C5">
        <v>18</v>
      </c>
      <c r="D5">
        <v>39</v>
      </c>
    </row>
    <row r="6" spans="1:4" x14ac:dyDescent="0.25">
      <c r="A6" t="s">
        <v>4</v>
      </c>
      <c r="B6" s="6">
        <v>0.59183673469387754</v>
      </c>
      <c r="C6">
        <v>29</v>
      </c>
      <c r="D6">
        <v>49</v>
      </c>
    </row>
    <row r="7" spans="1:4" x14ac:dyDescent="0.25">
      <c r="A7" t="s">
        <v>6</v>
      </c>
      <c r="B7" s="6">
        <v>0.5714285714285714</v>
      </c>
      <c r="C7">
        <v>24</v>
      </c>
      <c r="D7">
        <v>42</v>
      </c>
    </row>
    <row r="8" spans="1:4" x14ac:dyDescent="0.25">
      <c r="A8" t="s">
        <v>5</v>
      </c>
      <c r="B8" s="6">
        <v>0.51063829787234039</v>
      </c>
      <c r="C8">
        <v>24</v>
      </c>
      <c r="D8">
        <v>47</v>
      </c>
    </row>
    <row r="9" spans="1:4" x14ac:dyDescent="0.25">
      <c r="A9" t="s">
        <v>8</v>
      </c>
      <c r="B9" s="6">
        <v>0.46666666666666667</v>
      </c>
      <c r="C9">
        <v>14</v>
      </c>
      <c r="D9">
        <v>30</v>
      </c>
    </row>
    <row r="10" spans="1:4" x14ac:dyDescent="0.25">
      <c r="A10" t="s">
        <v>12</v>
      </c>
      <c r="B10" s="6">
        <v>0.5</v>
      </c>
      <c r="C10">
        <v>24</v>
      </c>
      <c r="D10">
        <v>48</v>
      </c>
    </row>
    <row r="11" spans="1:4" x14ac:dyDescent="0.25">
      <c r="A11" t="s">
        <v>23</v>
      </c>
      <c r="B11" s="6">
        <v>0.41379310344827586</v>
      </c>
      <c r="C11">
        <v>12</v>
      </c>
      <c r="D11">
        <v>29</v>
      </c>
    </row>
    <row r="12" spans="1:4" x14ac:dyDescent="0.25">
      <c r="A12" t="s">
        <v>11</v>
      </c>
      <c r="B12" s="6">
        <v>0.57692307692307687</v>
      </c>
      <c r="C12">
        <v>15</v>
      </c>
      <c r="D12">
        <v>26</v>
      </c>
    </row>
    <row r="13" spans="1:4" x14ac:dyDescent="0.25">
      <c r="A13" t="s">
        <v>9</v>
      </c>
      <c r="B13" s="6">
        <v>0.33333333333333331</v>
      </c>
      <c r="C13">
        <v>8</v>
      </c>
      <c r="D13">
        <v>24</v>
      </c>
    </row>
    <row r="14" spans="1:4" x14ac:dyDescent="0.25">
      <c r="A14" t="s">
        <v>24</v>
      </c>
      <c r="B14" s="6">
        <v>0.36842105263157893</v>
      </c>
      <c r="C14">
        <v>7</v>
      </c>
      <c r="D14">
        <v>19</v>
      </c>
    </row>
    <row r="15" spans="1:4" x14ac:dyDescent="0.25">
      <c r="A15" t="s">
        <v>26</v>
      </c>
      <c r="B15" s="6">
        <v>0.42857142857142855</v>
      </c>
      <c r="C15">
        <v>3</v>
      </c>
      <c r="D15">
        <v>7</v>
      </c>
    </row>
    <row r="16" spans="1:4" x14ac:dyDescent="0.25">
      <c r="A16" t="s">
        <v>7</v>
      </c>
      <c r="B16" s="6">
        <v>0.73529411764705888</v>
      </c>
      <c r="C16">
        <v>25</v>
      </c>
      <c r="D16">
        <v>34</v>
      </c>
    </row>
    <row r="17" spans="1:4" x14ac:dyDescent="0.25">
      <c r="A17" t="s">
        <v>10</v>
      </c>
      <c r="B17" s="6">
        <v>0</v>
      </c>
      <c r="C17">
        <v>0</v>
      </c>
      <c r="D17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K257"/>
  <sheetViews>
    <sheetView workbookViewId="0">
      <selection activeCell="A14" sqref="A14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27" t="s">
        <v>60</v>
      </c>
      <c r="B1" s="27" t="s">
        <v>61</v>
      </c>
      <c r="C1" s="15" t="s">
        <v>52</v>
      </c>
      <c r="D1" s="27" t="s">
        <v>53</v>
      </c>
      <c r="E1" s="27" t="s">
        <v>59</v>
      </c>
      <c r="F1" s="27" t="s">
        <v>54</v>
      </c>
      <c r="G1" s="27" t="s">
        <v>62</v>
      </c>
      <c r="H1" s="15" t="s">
        <v>55</v>
      </c>
      <c r="I1" s="27" t="s">
        <v>56</v>
      </c>
      <c r="J1" s="27" t="s">
        <v>58</v>
      </c>
      <c r="K1" s="27" t="s">
        <v>57</v>
      </c>
    </row>
    <row r="2" spans="1:11" x14ac:dyDescent="0.25">
      <c r="A2" t="s">
        <v>3</v>
      </c>
      <c r="B2" t="s">
        <v>3</v>
      </c>
      <c r="C2" s="6" t="s">
        <v>29</v>
      </c>
      <c r="D2">
        <v>0</v>
      </c>
      <c r="E2">
        <v>0</v>
      </c>
      <c r="F2">
        <v>0</v>
      </c>
      <c r="G2" t="s">
        <v>3</v>
      </c>
      <c r="H2" s="6" t="s">
        <v>29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0.47368421052631576</v>
      </c>
      <c r="D4">
        <v>9</v>
      </c>
      <c r="E4">
        <v>10</v>
      </c>
      <c r="F4">
        <v>19</v>
      </c>
      <c r="G4" t="s">
        <v>16</v>
      </c>
      <c r="H4" s="6">
        <v>0.53333333333333333</v>
      </c>
      <c r="I4">
        <v>8</v>
      </c>
      <c r="J4">
        <v>7</v>
      </c>
      <c r="K4">
        <v>15</v>
      </c>
    </row>
    <row r="5" spans="1:11" x14ac:dyDescent="0.25">
      <c r="A5" t="s">
        <v>3</v>
      </c>
      <c r="B5" t="s">
        <v>22</v>
      </c>
      <c r="C5" s="6">
        <v>0.42857142857142855</v>
      </c>
      <c r="D5">
        <v>6</v>
      </c>
      <c r="E5">
        <v>8</v>
      </c>
      <c r="F5">
        <v>14</v>
      </c>
      <c r="G5" t="s">
        <v>22</v>
      </c>
      <c r="H5" s="6">
        <v>0.57894736842105265</v>
      </c>
      <c r="I5">
        <v>11</v>
      </c>
      <c r="J5">
        <v>8</v>
      </c>
      <c r="K5">
        <v>19</v>
      </c>
    </row>
    <row r="6" spans="1:11" x14ac:dyDescent="0.25">
      <c r="A6" t="s">
        <v>3</v>
      </c>
      <c r="B6" t="s">
        <v>4</v>
      </c>
      <c r="C6" s="6">
        <v>0.6</v>
      </c>
      <c r="D6">
        <v>12</v>
      </c>
      <c r="E6">
        <v>8</v>
      </c>
      <c r="F6">
        <v>20</v>
      </c>
      <c r="G6" t="s">
        <v>4</v>
      </c>
      <c r="H6" s="6">
        <v>0.47826086956521741</v>
      </c>
      <c r="I6">
        <v>11</v>
      </c>
      <c r="J6">
        <v>12</v>
      </c>
      <c r="K6">
        <v>23</v>
      </c>
    </row>
    <row r="7" spans="1:11" x14ac:dyDescent="0.25">
      <c r="A7" t="s">
        <v>3</v>
      </c>
      <c r="B7" t="s">
        <v>6</v>
      </c>
      <c r="C7" s="6">
        <v>0.6875</v>
      </c>
      <c r="D7">
        <v>11</v>
      </c>
      <c r="E7">
        <v>5</v>
      </c>
      <c r="F7">
        <v>16</v>
      </c>
      <c r="G7" t="s">
        <v>6</v>
      </c>
      <c r="H7" s="6">
        <v>0.45</v>
      </c>
      <c r="I7">
        <v>9</v>
      </c>
      <c r="J7">
        <v>11</v>
      </c>
      <c r="K7">
        <v>20</v>
      </c>
    </row>
    <row r="8" spans="1:11" x14ac:dyDescent="0.25">
      <c r="A8" t="s">
        <v>3</v>
      </c>
      <c r="B8" t="s">
        <v>5</v>
      </c>
      <c r="C8" s="6">
        <v>0.6</v>
      </c>
      <c r="D8">
        <v>9</v>
      </c>
      <c r="E8">
        <v>6</v>
      </c>
      <c r="F8">
        <v>15</v>
      </c>
      <c r="G8" t="s">
        <v>5</v>
      </c>
      <c r="H8" s="6">
        <v>0.57692307692307687</v>
      </c>
      <c r="I8">
        <v>15</v>
      </c>
      <c r="J8">
        <v>11</v>
      </c>
      <c r="K8">
        <v>26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0.5714285714285714</v>
      </c>
      <c r="I9">
        <v>12</v>
      </c>
      <c r="J9">
        <v>9</v>
      </c>
      <c r="K9">
        <v>21</v>
      </c>
    </row>
    <row r="10" spans="1:11" x14ac:dyDescent="0.25">
      <c r="A10" t="s">
        <v>3</v>
      </c>
      <c r="B10" t="s">
        <v>12</v>
      </c>
      <c r="C10" s="6">
        <v>0.53846153846153844</v>
      </c>
      <c r="D10">
        <v>14</v>
      </c>
      <c r="E10">
        <v>12</v>
      </c>
      <c r="F10">
        <v>26</v>
      </c>
      <c r="G10" t="s">
        <v>12</v>
      </c>
      <c r="H10" s="6">
        <v>0.5625</v>
      </c>
      <c r="I10">
        <v>9</v>
      </c>
      <c r="J10">
        <v>7</v>
      </c>
      <c r="K10">
        <v>16</v>
      </c>
    </row>
    <row r="11" spans="1:11" x14ac:dyDescent="0.25">
      <c r="A11" t="s">
        <v>3</v>
      </c>
      <c r="B11" t="s">
        <v>23</v>
      </c>
      <c r="C11" s="6">
        <v>0.5</v>
      </c>
      <c r="D11">
        <v>5</v>
      </c>
      <c r="E11">
        <v>5</v>
      </c>
      <c r="F11">
        <v>10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0.66666666666666663</v>
      </c>
      <c r="D12">
        <v>8</v>
      </c>
      <c r="E12">
        <v>4</v>
      </c>
      <c r="F12">
        <v>12</v>
      </c>
      <c r="G12" t="s">
        <v>11</v>
      </c>
      <c r="H12" s="6">
        <v>0.5</v>
      </c>
      <c r="I12">
        <v>6</v>
      </c>
      <c r="J12">
        <v>6</v>
      </c>
      <c r="K12">
        <v>12</v>
      </c>
    </row>
    <row r="13" spans="1:11" x14ac:dyDescent="0.25">
      <c r="A13" t="s">
        <v>3</v>
      </c>
      <c r="B13" t="s">
        <v>9</v>
      </c>
      <c r="C13" s="6">
        <v>0.2</v>
      </c>
      <c r="D13">
        <v>1</v>
      </c>
      <c r="E13">
        <v>4</v>
      </c>
      <c r="F13">
        <v>5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0.73684210526315785</v>
      </c>
      <c r="D16">
        <v>14</v>
      </c>
      <c r="E16">
        <v>5</v>
      </c>
      <c r="F16">
        <v>19</v>
      </c>
      <c r="G16" t="s">
        <v>7</v>
      </c>
      <c r="H16" s="6">
        <v>0.33333333333333331</v>
      </c>
      <c r="I16">
        <v>3</v>
      </c>
      <c r="J16">
        <v>6</v>
      </c>
      <c r="K16">
        <v>9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29</v>
      </c>
      <c r="D19">
        <v>0</v>
      </c>
      <c r="E19">
        <v>0</v>
      </c>
      <c r="F19">
        <v>0</v>
      </c>
      <c r="G19" t="s">
        <v>18</v>
      </c>
      <c r="H19" s="6" t="s">
        <v>29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29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29</v>
      </c>
      <c r="D30">
        <v>0</v>
      </c>
      <c r="E30">
        <v>0</v>
      </c>
      <c r="F30">
        <v>0</v>
      </c>
      <c r="G30" t="s">
        <v>24</v>
      </c>
      <c r="H30" s="6" t="s">
        <v>29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29</v>
      </c>
      <c r="D31">
        <v>0</v>
      </c>
      <c r="E31">
        <v>0</v>
      </c>
      <c r="F31">
        <v>0</v>
      </c>
      <c r="G31" t="s">
        <v>26</v>
      </c>
      <c r="H31" s="6" t="s">
        <v>29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29</v>
      </c>
      <c r="D33">
        <v>0</v>
      </c>
      <c r="E33">
        <v>0</v>
      </c>
      <c r="F33">
        <v>0</v>
      </c>
      <c r="G33" t="s">
        <v>10</v>
      </c>
      <c r="H33" s="6" t="s">
        <v>29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0.47368421052631576</v>
      </c>
      <c r="D34">
        <v>9</v>
      </c>
      <c r="E34">
        <v>10</v>
      </c>
      <c r="F34">
        <v>19</v>
      </c>
      <c r="G34" t="s">
        <v>3</v>
      </c>
      <c r="H34" s="6">
        <v>0.46666666666666667</v>
      </c>
      <c r="I34">
        <v>7</v>
      </c>
      <c r="J34">
        <v>8</v>
      </c>
      <c r="K34">
        <v>15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29</v>
      </c>
      <c r="D36">
        <v>0</v>
      </c>
      <c r="E36">
        <v>0</v>
      </c>
      <c r="F36">
        <v>0</v>
      </c>
      <c r="G36" t="s">
        <v>16</v>
      </c>
      <c r="H36" s="6" t="s">
        <v>29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0.30769230769230771</v>
      </c>
      <c r="D37">
        <v>4</v>
      </c>
      <c r="E37">
        <v>9</v>
      </c>
      <c r="F37">
        <v>13</v>
      </c>
      <c r="G37" t="s">
        <v>22</v>
      </c>
      <c r="H37" s="6">
        <v>0.44444444444444442</v>
      </c>
      <c r="I37">
        <v>8</v>
      </c>
      <c r="J37">
        <v>10</v>
      </c>
      <c r="K37">
        <v>18</v>
      </c>
    </row>
    <row r="38" spans="1:11" x14ac:dyDescent="0.25">
      <c r="A38" t="s">
        <v>16</v>
      </c>
      <c r="B38" t="s">
        <v>4</v>
      </c>
      <c r="C38" s="6">
        <v>0.54545454545454541</v>
      </c>
      <c r="D38">
        <v>12</v>
      </c>
      <c r="E38">
        <v>10</v>
      </c>
      <c r="F38">
        <v>22</v>
      </c>
      <c r="G38" t="s">
        <v>4</v>
      </c>
      <c r="H38" s="6">
        <v>0.3125</v>
      </c>
      <c r="I38">
        <v>5</v>
      </c>
      <c r="J38">
        <v>11</v>
      </c>
      <c r="K38">
        <v>16</v>
      </c>
    </row>
    <row r="39" spans="1:11" x14ac:dyDescent="0.25">
      <c r="A39" t="s">
        <v>16</v>
      </c>
      <c r="B39" t="s">
        <v>6</v>
      </c>
      <c r="C39" s="6">
        <v>0.44444444444444442</v>
      </c>
      <c r="D39">
        <v>4</v>
      </c>
      <c r="E39">
        <v>5</v>
      </c>
      <c r="F39">
        <v>9</v>
      </c>
      <c r="G39" t="s">
        <v>6</v>
      </c>
      <c r="H39" s="6">
        <v>0.43478260869565216</v>
      </c>
      <c r="I39">
        <v>10</v>
      </c>
      <c r="J39">
        <v>13</v>
      </c>
      <c r="K39">
        <v>23</v>
      </c>
    </row>
    <row r="40" spans="1:11" x14ac:dyDescent="0.25">
      <c r="A40" t="s">
        <v>16</v>
      </c>
      <c r="B40" t="s">
        <v>5</v>
      </c>
      <c r="C40" s="6">
        <v>0.42105263157894735</v>
      </c>
      <c r="D40">
        <v>8</v>
      </c>
      <c r="E40">
        <v>11</v>
      </c>
      <c r="F40">
        <v>19</v>
      </c>
      <c r="G40" t="s">
        <v>5</v>
      </c>
      <c r="H40" s="6">
        <v>0.4375</v>
      </c>
      <c r="I40">
        <v>7</v>
      </c>
      <c r="J40">
        <v>9</v>
      </c>
      <c r="K40">
        <v>16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</v>
      </c>
      <c r="I41">
        <v>4</v>
      </c>
      <c r="J41">
        <v>6</v>
      </c>
      <c r="K41">
        <v>10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0.37037037037037035</v>
      </c>
      <c r="I42">
        <v>10</v>
      </c>
      <c r="J42">
        <v>17</v>
      </c>
      <c r="K42">
        <v>27</v>
      </c>
    </row>
    <row r="43" spans="1:11" x14ac:dyDescent="0.25">
      <c r="A43" t="s">
        <v>16</v>
      </c>
      <c r="B43" t="s">
        <v>23</v>
      </c>
      <c r="C43" s="6">
        <v>0.44444444444444442</v>
      </c>
      <c r="D43">
        <v>4</v>
      </c>
      <c r="E43">
        <v>5</v>
      </c>
      <c r="F43">
        <v>9</v>
      </c>
      <c r="G43" t="s">
        <v>23</v>
      </c>
      <c r="H43" s="6">
        <v>0.53846153846153844</v>
      </c>
      <c r="I43">
        <v>7</v>
      </c>
      <c r="J43">
        <v>6</v>
      </c>
      <c r="K43">
        <v>13</v>
      </c>
    </row>
    <row r="44" spans="1:11" x14ac:dyDescent="0.25">
      <c r="A44" t="s">
        <v>16</v>
      </c>
      <c r="B44" t="s">
        <v>11</v>
      </c>
      <c r="C44" s="6">
        <v>0.54545454545454541</v>
      </c>
      <c r="D44">
        <v>6</v>
      </c>
      <c r="E44">
        <v>5</v>
      </c>
      <c r="F44">
        <v>11</v>
      </c>
      <c r="G44" t="s">
        <v>11</v>
      </c>
      <c r="H44" s="6">
        <v>0.4</v>
      </c>
      <c r="I44">
        <v>4</v>
      </c>
      <c r="J44">
        <v>6</v>
      </c>
      <c r="K44">
        <v>10</v>
      </c>
    </row>
    <row r="45" spans="1:11" x14ac:dyDescent="0.25">
      <c r="A45" t="s">
        <v>16</v>
      </c>
      <c r="B45" t="s">
        <v>9</v>
      </c>
      <c r="C45" s="6">
        <v>0.16666666666666666</v>
      </c>
      <c r="D45">
        <v>1</v>
      </c>
      <c r="E45">
        <v>5</v>
      </c>
      <c r="F45">
        <v>6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0.6428571428571429</v>
      </c>
      <c r="D48">
        <v>9</v>
      </c>
      <c r="E48">
        <v>5</v>
      </c>
      <c r="F48">
        <v>14</v>
      </c>
      <c r="G48" t="s">
        <v>7</v>
      </c>
      <c r="H48" s="6">
        <v>0.27272727272727271</v>
      </c>
      <c r="I48">
        <v>3</v>
      </c>
      <c r="J48">
        <v>8</v>
      </c>
      <c r="K48">
        <v>11</v>
      </c>
    </row>
    <row r="49" spans="1:11" x14ac:dyDescent="0.25">
      <c r="A49" t="s">
        <v>16</v>
      </c>
      <c r="B49" t="s">
        <v>10</v>
      </c>
      <c r="C49" s="6" t="s">
        <v>29</v>
      </c>
      <c r="D49">
        <v>0</v>
      </c>
      <c r="E49">
        <v>0</v>
      </c>
      <c r="F49">
        <v>0</v>
      </c>
      <c r="G49" t="s">
        <v>10</v>
      </c>
      <c r="H49" s="6" t="s">
        <v>29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0.42857142857142855</v>
      </c>
      <c r="D50">
        <v>6</v>
      </c>
      <c r="E50">
        <v>8</v>
      </c>
      <c r="F50">
        <v>14</v>
      </c>
      <c r="G50" t="s">
        <v>3</v>
      </c>
      <c r="H50" s="6">
        <v>0.42105263157894735</v>
      </c>
      <c r="I50">
        <v>8</v>
      </c>
      <c r="J50">
        <v>11</v>
      </c>
      <c r="K50">
        <v>19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0.30769230769230771</v>
      </c>
      <c r="D52">
        <v>4</v>
      </c>
      <c r="E52">
        <v>9</v>
      </c>
      <c r="F52">
        <v>13</v>
      </c>
      <c r="G52" t="s">
        <v>16</v>
      </c>
      <c r="H52" s="6">
        <v>0.55555555555555558</v>
      </c>
      <c r="I52">
        <v>10</v>
      </c>
      <c r="J52">
        <v>8</v>
      </c>
      <c r="K52">
        <v>18</v>
      </c>
    </row>
    <row r="53" spans="1:11" x14ac:dyDescent="0.25">
      <c r="A53" t="s">
        <v>22</v>
      </c>
      <c r="B53" t="s">
        <v>22</v>
      </c>
      <c r="C53" s="6" t="s">
        <v>29</v>
      </c>
      <c r="D53">
        <v>0</v>
      </c>
      <c r="E53">
        <v>0</v>
      </c>
      <c r="F53">
        <v>0</v>
      </c>
      <c r="G53" t="s">
        <v>22</v>
      </c>
      <c r="H53" s="6" t="s">
        <v>29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0.5714285714285714</v>
      </c>
      <c r="D54">
        <v>12</v>
      </c>
      <c r="E54">
        <v>9</v>
      </c>
      <c r="F54">
        <v>21</v>
      </c>
      <c r="G54" t="s">
        <v>4</v>
      </c>
      <c r="H54" s="6">
        <v>0.25</v>
      </c>
      <c r="I54">
        <v>4</v>
      </c>
      <c r="J54">
        <v>12</v>
      </c>
      <c r="K54">
        <v>16</v>
      </c>
    </row>
    <row r="55" spans="1:11" x14ac:dyDescent="0.25">
      <c r="A55" t="s">
        <v>22</v>
      </c>
      <c r="B55" t="s">
        <v>6</v>
      </c>
      <c r="C55" s="6">
        <v>0.52631578947368418</v>
      </c>
      <c r="D55">
        <v>10</v>
      </c>
      <c r="E55">
        <v>9</v>
      </c>
      <c r="F55">
        <v>19</v>
      </c>
      <c r="G55" t="s">
        <v>6</v>
      </c>
      <c r="H55" s="6">
        <v>0.4</v>
      </c>
      <c r="I55">
        <v>6</v>
      </c>
      <c r="J55">
        <v>9</v>
      </c>
      <c r="K55">
        <v>15</v>
      </c>
    </row>
    <row r="56" spans="1:11" x14ac:dyDescent="0.25">
      <c r="A56" t="s">
        <v>22</v>
      </c>
      <c r="B56" t="s">
        <v>5</v>
      </c>
      <c r="C56" s="6">
        <v>0.55555555555555558</v>
      </c>
      <c r="D56">
        <v>10</v>
      </c>
      <c r="E56">
        <v>8</v>
      </c>
      <c r="F56">
        <v>18</v>
      </c>
      <c r="G56" t="s">
        <v>5</v>
      </c>
      <c r="H56" s="6">
        <v>0.41176470588235292</v>
      </c>
      <c r="I56">
        <v>7</v>
      </c>
      <c r="J56">
        <v>10</v>
      </c>
      <c r="K56">
        <v>17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0.47058823529411764</v>
      </c>
      <c r="D58">
        <v>8</v>
      </c>
      <c r="E58">
        <v>9</v>
      </c>
      <c r="F58">
        <v>17</v>
      </c>
      <c r="G58" t="s">
        <v>12</v>
      </c>
      <c r="H58" s="6">
        <v>0.47619047619047616</v>
      </c>
      <c r="I58">
        <v>10</v>
      </c>
      <c r="J58">
        <v>11</v>
      </c>
      <c r="K58">
        <v>21</v>
      </c>
    </row>
    <row r="59" spans="1:11" x14ac:dyDescent="0.25">
      <c r="A59" t="s">
        <v>22</v>
      </c>
      <c r="B59" t="s">
        <v>23</v>
      </c>
      <c r="C59" s="6">
        <v>0.125</v>
      </c>
      <c r="D59">
        <v>1</v>
      </c>
      <c r="E59">
        <v>7</v>
      </c>
      <c r="F59">
        <v>8</v>
      </c>
      <c r="G59" t="s">
        <v>23</v>
      </c>
      <c r="H59" s="6">
        <v>0.42857142857142855</v>
      </c>
      <c r="I59">
        <v>6</v>
      </c>
      <c r="J59">
        <v>8</v>
      </c>
      <c r="K59">
        <v>14</v>
      </c>
    </row>
    <row r="60" spans="1:11" x14ac:dyDescent="0.25">
      <c r="A60" t="s">
        <v>22</v>
      </c>
      <c r="B60" t="s">
        <v>11</v>
      </c>
      <c r="C60" s="6">
        <v>0.5</v>
      </c>
      <c r="D60">
        <v>4</v>
      </c>
      <c r="E60">
        <v>4</v>
      </c>
      <c r="F60">
        <v>8</v>
      </c>
      <c r="G60" t="s">
        <v>11</v>
      </c>
      <c r="H60" s="6">
        <v>0.3</v>
      </c>
      <c r="I60">
        <v>3</v>
      </c>
      <c r="J60">
        <v>7</v>
      </c>
      <c r="K60">
        <v>10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0.42857142857142855</v>
      </c>
      <c r="I61">
        <v>3</v>
      </c>
      <c r="J61">
        <v>4</v>
      </c>
      <c r="K61">
        <v>7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29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0.54545454545454541</v>
      </c>
      <c r="D64">
        <v>6</v>
      </c>
      <c r="E64">
        <v>5</v>
      </c>
      <c r="F64">
        <v>11</v>
      </c>
      <c r="G64" t="s">
        <v>7</v>
      </c>
      <c r="H64" s="6">
        <v>0.23076923076923078</v>
      </c>
      <c r="I64">
        <v>3</v>
      </c>
      <c r="J64">
        <v>10</v>
      </c>
      <c r="K64">
        <v>13</v>
      </c>
    </row>
    <row r="65" spans="1:11" x14ac:dyDescent="0.25">
      <c r="A65" t="s">
        <v>22</v>
      </c>
      <c r="B65" t="s">
        <v>10</v>
      </c>
      <c r="C65" s="6" t="s">
        <v>29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</v>
      </c>
      <c r="D66">
        <v>12</v>
      </c>
      <c r="E66">
        <v>8</v>
      </c>
      <c r="F66">
        <v>20</v>
      </c>
      <c r="G66" t="s">
        <v>3</v>
      </c>
      <c r="H66" s="6">
        <v>0.52173913043478259</v>
      </c>
      <c r="I66">
        <v>12</v>
      </c>
      <c r="J66">
        <v>11</v>
      </c>
      <c r="K66">
        <v>23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0.54545454545454541</v>
      </c>
      <c r="D68">
        <v>12</v>
      </c>
      <c r="E68">
        <v>10</v>
      </c>
      <c r="F68">
        <v>22</v>
      </c>
      <c r="G68" t="s">
        <v>16</v>
      </c>
      <c r="H68" s="6">
        <v>0.6875</v>
      </c>
      <c r="I68">
        <v>11</v>
      </c>
      <c r="J68">
        <v>5</v>
      </c>
      <c r="K68">
        <v>16</v>
      </c>
    </row>
    <row r="69" spans="1:11" x14ac:dyDescent="0.25">
      <c r="A69" t="s">
        <v>4</v>
      </c>
      <c r="B69" t="s">
        <v>22</v>
      </c>
      <c r="C69" s="6">
        <v>0.5714285714285714</v>
      </c>
      <c r="D69">
        <v>12</v>
      </c>
      <c r="E69">
        <v>9</v>
      </c>
      <c r="F69">
        <v>21</v>
      </c>
      <c r="G69" t="s">
        <v>22</v>
      </c>
      <c r="H69" s="6">
        <v>0.75</v>
      </c>
      <c r="I69">
        <v>12</v>
      </c>
      <c r="J69">
        <v>4</v>
      </c>
      <c r="K69">
        <v>16</v>
      </c>
    </row>
    <row r="70" spans="1:11" x14ac:dyDescent="0.25">
      <c r="A70" t="s">
        <v>4</v>
      </c>
      <c r="B70" t="s">
        <v>4</v>
      </c>
      <c r="C70" s="6" t="s">
        <v>29</v>
      </c>
      <c r="D70">
        <v>0</v>
      </c>
      <c r="E70">
        <v>0</v>
      </c>
      <c r="F70">
        <v>0</v>
      </c>
      <c r="G70" t="s">
        <v>4</v>
      </c>
      <c r="H70" s="6" t="s">
        <v>29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0.66666666666666663</v>
      </c>
      <c r="D71">
        <v>12</v>
      </c>
      <c r="E71">
        <v>6</v>
      </c>
      <c r="F71">
        <v>18</v>
      </c>
      <c r="G71" t="s">
        <v>6</v>
      </c>
      <c r="H71" s="6">
        <v>0.5</v>
      </c>
      <c r="I71">
        <v>11</v>
      </c>
      <c r="J71">
        <v>11</v>
      </c>
      <c r="K71">
        <v>22</v>
      </c>
    </row>
    <row r="72" spans="1:11" x14ac:dyDescent="0.25">
      <c r="A72" t="s">
        <v>4</v>
      </c>
      <c r="B72" t="s">
        <v>5</v>
      </c>
      <c r="C72" s="6">
        <v>0.59259259259259256</v>
      </c>
      <c r="D72">
        <v>16</v>
      </c>
      <c r="E72">
        <v>11</v>
      </c>
      <c r="F72">
        <v>27</v>
      </c>
      <c r="G72" t="s">
        <v>5</v>
      </c>
      <c r="H72" s="6">
        <v>0.55555555555555558</v>
      </c>
      <c r="I72">
        <v>10</v>
      </c>
      <c r="J72">
        <v>8</v>
      </c>
      <c r="K72">
        <v>18</v>
      </c>
    </row>
    <row r="73" spans="1:11" x14ac:dyDescent="0.25">
      <c r="A73" t="s">
        <v>4</v>
      </c>
      <c r="B73" t="s">
        <v>8</v>
      </c>
      <c r="C73" s="6">
        <v>0.72727272727272729</v>
      </c>
      <c r="D73">
        <v>8</v>
      </c>
      <c r="E73">
        <v>3</v>
      </c>
      <c r="F73">
        <v>11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0.69230769230769229</v>
      </c>
      <c r="D74">
        <v>9</v>
      </c>
      <c r="E74">
        <v>4</v>
      </c>
      <c r="F74">
        <v>13</v>
      </c>
      <c r="G74" t="s">
        <v>12</v>
      </c>
      <c r="H74" s="6">
        <v>0.5757575757575758</v>
      </c>
      <c r="I74">
        <v>19</v>
      </c>
      <c r="J74">
        <v>14</v>
      </c>
      <c r="K74">
        <v>33</v>
      </c>
    </row>
    <row r="75" spans="1:11" x14ac:dyDescent="0.25">
      <c r="A75" t="s">
        <v>4</v>
      </c>
      <c r="B75" t="s">
        <v>23</v>
      </c>
      <c r="C75" s="6">
        <v>0.46153846153846156</v>
      </c>
      <c r="D75">
        <v>6</v>
      </c>
      <c r="E75">
        <v>7</v>
      </c>
      <c r="F75">
        <v>13</v>
      </c>
      <c r="G75" t="s">
        <v>23</v>
      </c>
      <c r="H75" s="6">
        <v>0.625</v>
      </c>
      <c r="I75">
        <v>10</v>
      </c>
      <c r="J75">
        <v>6</v>
      </c>
      <c r="K75">
        <v>16</v>
      </c>
    </row>
    <row r="76" spans="1:11" x14ac:dyDescent="0.25">
      <c r="A76" t="s">
        <v>4</v>
      </c>
      <c r="B76" t="s">
        <v>11</v>
      </c>
      <c r="C76" s="6">
        <v>0.5</v>
      </c>
      <c r="D76">
        <v>3</v>
      </c>
      <c r="E76">
        <v>3</v>
      </c>
      <c r="F76">
        <v>6</v>
      </c>
      <c r="G76" t="s">
        <v>11</v>
      </c>
      <c r="H76" s="6">
        <v>0.44444444444444442</v>
      </c>
      <c r="I76">
        <v>8</v>
      </c>
      <c r="J76">
        <v>10</v>
      </c>
      <c r="K76">
        <v>18</v>
      </c>
    </row>
    <row r="77" spans="1:11" x14ac:dyDescent="0.25">
      <c r="A77" t="s">
        <v>4</v>
      </c>
      <c r="B77" t="s">
        <v>9</v>
      </c>
      <c r="C77" s="6">
        <v>0.35714285714285715</v>
      </c>
      <c r="D77">
        <v>5</v>
      </c>
      <c r="E77">
        <v>9</v>
      </c>
      <c r="F77">
        <v>14</v>
      </c>
      <c r="G77" t="s">
        <v>9</v>
      </c>
      <c r="H77" s="6">
        <v>0.7</v>
      </c>
      <c r="I77">
        <v>7</v>
      </c>
      <c r="J77">
        <v>3</v>
      </c>
      <c r="K77">
        <v>10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0.8571428571428571</v>
      </c>
      <c r="D80">
        <v>12</v>
      </c>
      <c r="E80">
        <v>2</v>
      </c>
      <c r="F80">
        <v>14</v>
      </c>
      <c r="G80" t="s">
        <v>7</v>
      </c>
      <c r="H80" s="6">
        <v>0.31578947368421051</v>
      </c>
      <c r="I80">
        <v>6</v>
      </c>
      <c r="J80">
        <v>13</v>
      </c>
      <c r="K80">
        <v>19</v>
      </c>
    </row>
    <row r="81" spans="1:11" x14ac:dyDescent="0.25">
      <c r="A81" t="s">
        <v>4</v>
      </c>
      <c r="B81" t="s">
        <v>10</v>
      </c>
      <c r="C81" s="6" t="s">
        <v>29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0.6875</v>
      </c>
      <c r="D82">
        <v>11</v>
      </c>
      <c r="E82">
        <v>5</v>
      </c>
      <c r="F82">
        <v>16</v>
      </c>
      <c r="G82" t="s">
        <v>3</v>
      </c>
      <c r="H82" s="6">
        <v>0.55000000000000004</v>
      </c>
      <c r="I82">
        <v>11</v>
      </c>
      <c r="J82">
        <v>9</v>
      </c>
      <c r="K82">
        <v>20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0.44444444444444442</v>
      </c>
      <c r="D84">
        <v>4</v>
      </c>
      <c r="E84">
        <v>5</v>
      </c>
      <c r="F84">
        <v>9</v>
      </c>
      <c r="G84" t="s">
        <v>16</v>
      </c>
      <c r="H84" s="6">
        <v>0.56521739130434778</v>
      </c>
      <c r="I84">
        <v>13</v>
      </c>
      <c r="J84">
        <v>10</v>
      </c>
      <c r="K84">
        <v>23</v>
      </c>
    </row>
    <row r="85" spans="1:11" x14ac:dyDescent="0.25">
      <c r="A85" t="s">
        <v>6</v>
      </c>
      <c r="B85" t="s">
        <v>22</v>
      </c>
      <c r="C85" s="6">
        <v>0.52631578947368418</v>
      </c>
      <c r="D85">
        <v>10</v>
      </c>
      <c r="E85">
        <v>9</v>
      </c>
      <c r="F85">
        <v>19</v>
      </c>
      <c r="G85" t="s">
        <v>22</v>
      </c>
      <c r="H85" s="6">
        <v>0.6</v>
      </c>
      <c r="I85">
        <v>9</v>
      </c>
      <c r="J85">
        <v>6</v>
      </c>
      <c r="K85">
        <v>15</v>
      </c>
    </row>
    <row r="86" spans="1:11" x14ac:dyDescent="0.25">
      <c r="A86" t="s">
        <v>6</v>
      </c>
      <c r="B86" t="s">
        <v>4</v>
      </c>
      <c r="C86" s="6">
        <v>0.66666666666666663</v>
      </c>
      <c r="D86">
        <v>12</v>
      </c>
      <c r="E86">
        <v>6</v>
      </c>
      <c r="F86">
        <v>18</v>
      </c>
      <c r="G86" t="s">
        <v>4</v>
      </c>
      <c r="H86" s="6">
        <v>0.5</v>
      </c>
      <c r="I86">
        <v>11</v>
      </c>
      <c r="J86">
        <v>11</v>
      </c>
      <c r="K86">
        <v>22</v>
      </c>
    </row>
    <row r="87" spans="1:11" x14ac:dyDescent="0.25">
      <c r="A87" t="s">
        <v>6</v>
      </c>
      <c r="B87" t="s">
        <v>6</v>
      </c>
      <c r="C87" s="6" t="s">
        <v>29</v>
      </c>
      <c r="D87">
        <v>0</v>
      </c>
      <c r="E87">
        <v>0</v>
      </c>
      <c r="F87">
        <v>0</v>
      </c>
      <c r="G87" t="s">
        <v>6</v>
      </c>
      <c r="H87" s="6" t="s">
        <v>29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0.6</v>
      </c>
      <c r="I88">
        <v>9</v>
      </c>
      <c r="J88">
        <v>6</v>
      </c>
      <c r="K88">
        <v>15</v>
      </c>
    </row>
    <row r="89" spans="1:11" x14ac:dyDescent="0.25">
      <c r="A89" t="s">
        <v>6</v>
      </c>
      <c r="B89" t="s">
        <v>8</v>
      </c>
      <c r="C89" s="6">
        <v>0.42857142857142855</v>
      </c>
      <c r="D89">
        <v>3</v>
      </c>
      <c r="E89">
        <v>4</v>
      </c>
      <c r="F89">
        <v>7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0.61111111111111116</v>
      </c>
      <c r="D90">
        <v>11</v>
      </c>
      <c r="E90">
        <v>7</v>
      </c>
      <c r="F90">
        <v>18</v>
      </c>
      <c r="G90" t="s">
        <v>12</v>
      </c>
      <c r="H90" s="6">
        <v>0.5714285714285714</v>
      </c>
      <c r="I90">
        <v>12</v>
      </c>
      <c r="J90">
        <v>9</v>
      </c>
      <c r="K90">
        <v>21</v>
      </c>
    </row>
    <row r="91" spans="1:11" x14ac:dyDescent="0.25">
      <c r="A91" t="s">
        <v>6</v>
      </c>
      <c r="B91" t="s">
        <v>23</v>
      </c>
      <c r="C91" s="6">
        <v>0.41666666666666669</v>
      </c>
      <c r="D91">
        <v>5</v>
      </c>
      <c r="E91">
        <v>7</v>
      </c>
      <c r="F91">
        <v>12</v>
      </c>
      <c r="G91" t="s">
        <v>23</v>
      </c>
      <c r="H91" s="6">
        <v>0.6</v>
      </c>
      <c r="I91">
        <v>6</v>
      </c>
      <c r="J91">
        <v>4</v>
      </c>
      <c r="K91">
        <v>10</v>
      </c>
    </row>
    <row r="92" spans="1:11" x14ac:dyDescent="0.25">
      <c r="A92" t="s">
        <v>6</v>
      </c>
      <c r="B92" t="s">
        <v>11</v>
      </c>
      <c r="C92" s="6">
        <v>0.7</v>
      </c>
      <c r="D92">
        <v>7</v>
      </c>
      <c r="E92">
        <v>3</v>
      </c>
      <c r="F92">
        <v>10</v>
      </c>
      <c r="G92" t="s">
        <v>11</v>
      </c>
      <c r="H92" s="6">
        <v>0.46666666666666667</v>
      </c>
      <c r="I92">
        <v>7</v>
      </c>
      <c r="J92">
        <v>8</v>
      </c>
      <c r="K92">
        <v>15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0.7</v>
      </c>
      <c r="I93">
        <v>7</v>
      </c>
      <c r="J93">
        <v>3</v>
      </c>
      <c r="K93">
        <v>10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0.84615384615384615</v>
      </c>
      <c r="D96">
        <v>11</v>
      </c>
      <c r="E96">
        <v>2</v>
      </c>
      <c r="F96">
        <v>13</v>
      </c>
      <c r="G96" t="s">
        <v>7</v>
      </c>
      <c r="H96" s="6">
        <v>0.3125</v>
      </c>
      <c r="I96">
        <v>5</v>
      </c>
      <c r="J96">
        <v>11</v>
      </c>
      <c r="K96">
        <v>16</v>
      </c>
    </row>
    <row r="97" spans="1:11" x14ac:dyDescent="0.25">
      <c r="A97" t="s">
        <v>6</v>
      </c>
      <c r="B97" t="s">
        <v>10</v>
      </c>
      <c r="C97" s="6" t="s">
        <v>29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</v>
      </c>
      <c r="D98">
        <v>9</v>
      </c>
      <c r="E98">
        <v>6</v>
      </c>
      <c r="F98">
        <v>15</v>
      </c>
      <c r="G98" t="s">
        <v>3</v>
      </c>
      <c r="H98" s="6">
        <v>0.42307692307692307</v>
      </c>
      <c r="I98">
        <v>11</v>
      </c>
      <c r="J98">
        <v>15</v>
      </c>
      <c r="K98">
        <v>26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0.42105263157894735</v>
      </c>
      <c r="D100">
        <v>8</v>
      </c>
      <c r="E100">
        <v>11</v>
      </c>
      <c r="F100">
        <v>19</v>
      </c>
      <c r="G100" t="s">
        <v>16</v>
      </c>
      <c r="H100" s="6">
        <v>0.5625</v>
      </c>
      <c r="I100">
        <v>9</v>
      </c>
      <c r="J100">
        <v>7</v>
      </c>
      <c r="K100">
        <v>16</v>
      </c>
    </row>
    <row r="101" spans="1:11" x14ac:dyDescent="0.25">
      <c r="A101" t="s">
        <v>5</v>
      </c>
      <c r="B101" t="s">
        <v>22</v>
      </c>
      <c r="C101" s="6">
        <v>0.55555555555555558</v>
      </c>
      <c r="D101">
        <v>10</v>
      </c>
      <c r="E101">
        <v>8</v>
      </c>
      <c r="F101">
        <v>18</v>
      </c>
      <c r="G101" t="s">
        <v>22</v>
      </c>
      <c r="H101" s="6">
        <v>0.58823529411764708</v>
      </c>
      <c r="I101">
        <v>10</v>
      </c>
      <c r="J101">
        <v>7</v>
      </c>
      <c r="K101">
        <v>17</v>
      </c>
    </row>
    <row r="102" spans="1:11" x14ac:dyDescent="0.25">
      <c r="A102" t="s">
        <v>5</v>
      </c>
      <c r="B102" t="s">
        <v>4</v>
      </c>
      <c r="C102" s="6">
        <v>0.59259259259259256</v>
      </c>
      <c r="D102">
        <v>16</v>
      </c>
      <c r="E102">
        <v>11</v>
      </c>
      <c r="F102">
        <v>27</v>
      </c>
      <c r="G102" t="s">
        <v>4</v>
      </c>
      <c r="H102" s="6">
        <v>0.44444444444444442</v>
      </c>
      <c r="I102">
        <v>8</v>
      </c>
      <c r="J102">
        <v>10</v>
      </c>
      <c r="K102">
        <v>18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0.4</v>
      </c>
      <c r="I103">
        <v>6</v>
      </c>
      <c r="J103">
        <v>9</v>
      </c>
      <c r="K103">
        <v>15</v>
      </c>
    </row>
    <row r="104" spans="1:11" x14ac:dyDescent="0.25">
      <c r="A104" t="s">
        <v>5</v>
      </c>
      <c r="B104" t="s">
        <v>5</v>
      </c>
      <c r="C104" s="6" t="s">
        <v>29</v>
      </c>
      <c r="D104">
        <v>0</v>
      </c>
      <c r="E104">
        <v>0</v>
      </c>
      <c r="F104">
        <v>0</v>
      </c>
      <c r="G104" t="s">
        <v>5</v>
      </c>
      <c r="H104" s="6" t="s">
        <v>29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0.52941176470588236</v>
      </c>
      <c r="I105">
        <v>9</v>
      </c>
      <c r="J105">
        <v>8</v>
      </c>
      <c r="K105">
        <v>17</v>
      </c>
    </row>
    <row r="106" spans="1:11" x14ac:dyDescent="0.25">
      <c r="A106" t="s">
        <v>5</v>
      </c>
      <c r="B106" t="s">
        <v>12</v>
      </c>
      <c r="C106" s="6">
        <v>0.5</v>
      </c>
      <c r="D106">
        <v>8</v>
      </c>
      <c r="E106">
        <v>8</v>
      </c>
      <c r="F106">
        <v>16</v>
      </c>
      <c r="G106" t="s">
        <v>12</v>
      </c>
      <c r="H106" s="6">
        <v>0.51724137931034486</v>
      </c>
      <c r="I106">
        <v>15</v>
      </c>
      <c r="J106">
        <v>14</v>
      </c>
      <c r="K106">
        <v>29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0.61538461538461542</v>
      </c>
      <c r="I107">
        <v>8</v>
      </c>
      <c r="J107">
        <v>5</v>
      </c>
      <c r="K107">
        <v>13</v>
      </c>
    </row>
    <row r="108" spans="1:11" x14ac:dyDescent="0.25">
      <c r="A108" t="s">
        <v>5</v>
      </c>
      <c r="B108" t="s">
        <v>11</v>
      </c>
      <c r="C108" s="6">
        <v>0.5714285714285714</v>
      </c>
      <c r="D108">
        <v>4</v>
      </c>
      <c r="E108">
        <v>3</v>
      </c>
      <c r="F108">
        <v>7</v>
      </c>
      <c r="G108" t="s">
        <v>11</v>
      </c>
      <c r="H108" s="6">
        <v>0.41176470588235292</v>
      </c>
      <c r="I108">
        <v>7</v>
      </c>
      <c r="J108">
        <v>10</v>
      </c>
      <c r="K108">
        <v>17</v>
      </c>
    </row>
    <row r="109" spans="1:11" x14ac:dyDescent="0.25">
      <c r="A109" t="s">
        <v>5</v>
      </c>
      <c r="B109" t="s">
        <v>9</v>
      </c>
      <c r="C109" s="6">
        <v>0.36363636363636365</v>
      </c>
      <c r="D109">
        <v>4</v>
      </c>
      <c r="E109">
        <v>7</v>
      </c>
      <c r="F109">
        <v>11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29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0.76923076923076927</v>
      </c>
      <c r="D112">
        <v>10</v>
      </c>
      <c r="E112">
        <v>3</v>
      </c>
      <c r="F112">
        <v>13</v>
      </c>
      <c r="G112" t="s">
        <v>7</v>
      </c>
      <c r="H112" s="6">
        <v>0.31578947368421051</v>
      </c>
      <c r="I112">
        <v>6</v>
      </c>
      <c r="J112">
        <v>13</v>
      </c>
      <c r="K112">
        <v>19</v>
      </c>
    </row>
    <row r="113" spans="1:11" x14ac:dyDescent="0.25">
      <c r="A113" t="s">
        <v>5</v>
      </c>
      <c r="B113" t="s">
        <v>10</v>
      </c>
      <c r="C113" s="6" t="s">
        <v>29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0.42857142857142855</v>
      </c>
      <c r="I114">
        <v>9</v>
      </c>
      <c r="J114">
        <v>12</v>
      </c>
      <c r="K114">
        <v>21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0.6</v>
      </c>
      <c r="I116">
        <v>6</v>
      </c>
      <c r="J116">
        <v>4</v>
      </c>
      <c r="K116">
        <v>10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0.72727272727272729</v>
      </c>
      <c r="D118">
        <v>8</v>
      </c>
      <c r="E118">
        <v>3</v>
      </c>
      <c r="F118">
        <v>11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0.42857142857142855</v>
      </c>
      <c r="D119">
        <v>3</v>
      </c>
      <c r="E119">
        <v>4</v>
      </c>
      <c r="F119">
        <v>7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0.47058823529411764</v>
      </c>
      <c r="I120">
        <v>8</v>
      </c>
      <c r="J120">
        <v>9</v>
      </c>
      <c r="K120">
        <v>17</v>
      </c>
    </row>
    <row r="121" spans="1:11" x14ac:dyDescent="0.25">
      <c r="A121" t="s">
        <v>8</v>
      </c>
      <c r="B121" t="s">
        <v>8</v>
      </c>
      <c r="C121" s="6" t="s">
        <v>29</v>
      </c>
      <c r="D121">
        <v>0</v>
      </c>
      <c r="E121">
        <v>0</v>
      </c>
      <c r="F121">
        <v>0</v>
      </c>
      <c r="G121" t="s">
        <v>8</v>
      </c>
      <c r="H121" s="6" t="s">
        <v>29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0.375</v>
      </c>
      <c r="D122">
        <v>6</v>
      </c>
      <c r="E122">
        <v>10</v>
      </c>
      <c r="F122">
        <v>16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0.5</v>
      </c>
      <c r="D124">
        <v>2</v>
      </c>
      <c r="E124">
        <v>2</v>
      </c>
      <c r="F124">
        <v>4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0.75</v>
      </c>
      <c r="I125">
        <v>6</v>
      </c>
      <c r="J125">
        <v>2</v>
      </c>
      <c r="K125">
        <v>8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0.2857142857142857</v>
      </c>
      <c r="I128">
        <v>4</v>
      </c>
      <c r="J128">
        <v>10</v>
      </c>
      <c r="K128">
        <v>14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29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0.53846153846153844</v>
      </c>
      <c r="D130">
        <v>14</v>
      </c>
      <c r="E130">
        <v>12</v>
      </c>
      <c r="F130">
        <v>26</v>
      </c>
      <c r="G130" t="s">
        <v>3</v>
      </c>
      <c r="H130" s="6">
        <v>0.4375</v>
      </c>
      <c r="I130">
        <v>7</v>
      </c>
      <c r="J130">
        <v>9</v>
      </c>
      <c r="K130">
        <v>16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0.62962962962962965</v>
      </c>
      <c r="I132">
        <v>17</v>
      </c>
      <c r="J132">
        <v>10</v>
      </c>
      <c r="K132">
        <v>27</v>
      </c>
    </row>
    <row r="133" spans="1:11" x14ac:dyDescent="0.25">
      <c r="A133" t="s">
        <v>12</v>
      </c>
      <c r="B133" t="s">
        <v>22</v>
      </c>
      <c r="C133" s="6">
        <v>0.47058823529411764</v>
      </c>
      <c r="D133">
        <v>8</v>
      </c>
      <c r="E133">
        <v>9</v>
      </c>
      <c r="F133">
        <v>17</v>
      </c>
      <c r="G133" t="s">
        <v>22</v>
      </c>
      <c r="H133" s="6">
        <v>0.52380952380952384</v>
      </c>
      <c r="I133">
        <v>11</v>
      </c>
      <c r="J133">
        <v>10</v>
      </c>
      <c r="K133">
        <v>21</v>
      </c>
    </row>
    <row r="134" spans="1:11" x14ac:dyDescent="0.25">
      <c r="A134" t="s">
        <v>12</v>
      </c>
      <c r="B134" t="s">
        <v>4</v>
      </c>
      <c r="C134" s="6">
        <v>0.69230769230769229</v>
      </c>
      <c r="D134">
        <v>9</v>
      </c>
      <c r="E134">
        <v>4</v>
      </c>
      <c r="F134">
        <v>13</v>
      </c>
      <c r="G134" t="s">
        <v>4</v>
      </c>
      <c r="H134" s="6">
        <v>0.42424242424242425</v>
      </c>
      <c r="I134">
        <v>14</v>
      </c>
      <c r="J134">
        <v>19</v>
      </c>
      <c r="K134">
        <v>33</v>
      </c>
    </row>
    <row r="135" spans="1:11" x14ac:dyDescent="0.25">
      <c r="A135" t="s">
        <v>12</v>
      </c>
      <c r="B135" t="s">
        <v>6</v>
      </c>
      <c r="C135" s="6">
        <v>0.61111111111111116</v>
      </c>
      <c r="D135">
        <v>11</v>
      </c>
      <c r="E135">
        <v>7</v>
      </c>
      <c r="F135">
        <v>18</v>
      </c>
      <c r="G135" t="s">
        <v>6</v>
      </c>
      <c r="H135" s="6">
        <v>0.42857142857142855</v>
      </c>
      <c r="I135">
        <v>9</v>
      </c>
      <c r="J135">
        <v>12</v>
      </c>
      <c r="K135">
        <v>21</v>
      </c>
    </row>
    <row r="136" spans="1:11" x14ac:dyDescent="0.25">
      <c r="A136" t="s">
        <v>12</v>
      </c>
      <c r="B136" t="s">
        <v>5</v>
      </c>
      <c r="C136" s="6">
        <v>0.5</v>
      </c>
      <c r="D136">
        <v>8</v>
      </c>
      <c r="E136">
        <v>8</v>
      </c>
      <c r="F136">
        <v>16</v>
      </c>
      <c r="G136" t="s">
        <v>5</v>
      </c>
      <c r="H136" s="6">
        <v>0.48275862068965519</v>
      </c>
      <c r="I136">
        <v>14</v>
      </c>
      <c r="J136">
        <v>15</v>
      </c>
      <c r="K136">
        <v>29</v>
      </c>
    </row>
    <row r="137" spans="1:11" x14ac:dyDescent="0.25">
      <c r="A137" t="s">
        <v>12</v>
      </c>
      <c r="B137" t="s">
        <v>8</v>
      </c>
      <c r="C137" s="6">
        <v>0.375</v>
      </c>
      <c r="D137">
        <v>6</v>
      </c>
      <c r="E137">
        <v>10</v>
      </c>
      <c r="F137">
        <v>16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29</v>
      </c>
      <c r="D138">
        <v>0</v>
      </c>
      <c r="E138">
        <v>0</v>
      </c>
      <c r="F138">
        <v>0</v>
      </c>
      <c r="G138" t="s">
        <v>12</v>
      </c>
      <c r="H138" s="6" t="s">
        <v>29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</v>
      </c>
      <c r="D139">
        <v>3</v>
      </c>
      <c r="E139">
        <v>7</v>
      </c>
      <c r="F139">
        <v>10</v>
      </c>
      <c r="G139" t="s">
        <v>23</v>
      </c>
      <c r="H139" s="6">
        <v>0.55555555555555558</v>
      </c>
      <c r="I139">
        <v>10</v>
      </c>
      <c r="J139">
        <v>8</v>
      </c>
      <c r="K139">
        <v>18</v>
      </c>
    </row>
    <row r="140" spans="1:11" x14ac:dyDescent="0.25">
      <c r="A140" t="s">
        <v>12</v>
      </c>
      <c r="B140" t="s">
        <v>11</v>
      </c>
      <c r="C140" s="6">
        <v>0.6428571428571429</v>
      </c>
      <c r="D140">
        <v>9</v>
      </c>
      <c r="E140">
        <v>5</v>
      </c>
      <c r="F140">
        <v>14</v>
      </c>
      <c r="G140" t="s">
        <v>11</v>
      </c>
      <c r="H140" s="6">
        <v>0.44444444444444442</v>
      </c>
      <c r="I140">
        <v>4</v>
      </c>
      <c r="J140">
        <v>5</v>
      </c>
      <c r="K140">
        <v>9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0.76923076923076927</v>
      </c>
      <c r="I141">
        <v>10</v>
      </c>
      <c r="J141">
        <v>3</v>
      </c>
      <c r="K141">
        <v>13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0.68421052631578949</v>
      </c>
      <c r="D144">
        <v>13</v>
      </c>
      <c r="E144">
        <v>6</v>
      </c>
      <c r="F144">
        <v>19</v>
      </c>
      <c r="G144" t="s">
        <v>7</v>
      </c>
      <c r="H144" s="6">
        <v>0.25</v>
      </c>
      <c r="I144">
        <v>3</v>
      </c>
      <c r="J144">
        <v>9</v>
      </c>
      <c r="K144">
        <v>12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29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</v>
      </c>
      <c r="D146">
        <v>5</v>
      </c>
      <c r="E146">
        <v>5</v>
      </c>
      <c r="F146">
        <v>10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0.44444444444444442</v>
      </c>
      <c r="D148">
        <v>4</v>
      </c>
      <c r="E148">
        <v>5</v>
      </c>
      <c r="F148">
        <v>9</v>
      </c>
      <c r="G148" t="s">
        <v>16</v>
      </c>
      <c r="H148" s="6">
        <v>0.46153846153846156</v>
      </c>
      <c r="I148">
        <v>6</v>
      </c>
      <c r="J148">
        <v>7</v>
      </c>
      <c r="K148">
        <v>13</v>
      </c>
    </row>
    <row r="149" spans="1:11" x14ac:dyDescent="0.25">
      <c r="A149" t="s">
        <v>23</v>
      </c>
      <c r="B149" t="s">
        <v>22</v>
      </c>
      <c r="C149" s="6">
        <v>0.125</v>
      </c>
      <c r="D149">
        <v>1</v>
      </c>
      <c r="E149">
        <v>7</v>
      </c>
      <c r="F149">
        <v>8</v>
      </c>
      <c r="G149" t="s">
        <v>22</v>
      </c>
      <c r="H149" s="6">
        <v>0.5714285714285714</v>
      </c>
      <c r="I149">
        <v>8</v>
      </c>
      <c r="J149">
        <v>6</v>
      </c>
      <c r="K149">
        <v>14</v>
      </c>
    </row>
    <row r="150" spans="1:11" x14ac:dyDescent="0.25">
      <c r="A150" t="s">
        <v>23</v>
      </c>
      <c r="B150" t="s">
        <v>4</v>
      </c>
      <c r="C150" s="6">
        <v>0.46153846153846156</v>
      </c>
      <c r="D150">
        <v>6</v>
      </c>
      <c r="E150">
        <v>7</v>
      </c>
      <c r="F150">
        <v>13</v>
      </c>
      <c r="G150" t="s">
        <v>4</v>
      </c>
      <c r="H150" s="6">
        <v>0.375</v>
      </c>
      <c r="I150">
        <v>6</v>
      </c>
      <c r="J150">
        <v>10</v>
      </c>
      <c r="K150">
        <v>16</v>
      </c>
    </row>
    <row r="151" spans="1:11" x14ac:dyDescent="0.25">
      <c r="A151" t="s">
        <v>23</v>
      </c>
      <c r="B151" t="s">
        <v>6</v>
      </c>
      <c r="C151" s="6">
        <v>0.41666666666666669</v>
      </c>
      <c r="D151">
        <v>5</v>
      </c>
      <c r="E151">
        <v>7</v>
      </c>
      <c r="F151">
        <v>12</v>
      </c>
      <c r="G151" t="s">
        <v>6</v>
      </c>
      <c r="H151" s="6">
        <v>0.4</v>
      </c>
      <c r="I151">
        <v>4</v>
      </c>
      <c r="J151">
        <v>6</v>
      </c>
      <c r="K151">
        <v>10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0.38461538461538464</v>
      </c>
      <c r="I152">
        <v>5</v>
      </c>
      <c r="J152">
        <v>8</v>
      </c>
      <c r="K152">
        <v>13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</v>
      </c>
      <c r="D154">
        <v>3</v>
      </c>
      <c r="E154">
        <v>7</v>
      </c>
      <c r="F154">
        <v>10</v>
      </c>
      <c r="G154" t="s">
        <v>12</v>
      </c>
      <c r="H154" s="6">
        <v>0.44444444444444442</v>
      </c>
      <c r="I154">
        <v>8</v>
      </c>
      <c r="J154">
        <v>10</v>
      </c>
      <c r="K154">
        <v>18</v>
      </c>
    </row>
    <row r="155" spans="1:11" x14ac:dyDescent="0.25">
      <c r="A155" t="s">
        <v>23</v>
      </c>
      <c r="B155" t="s">
        <v>23</v>
      </c>
      <c r="C155" s="6" t="s">
        <v>29</v>
      </c>
      <c r="D155">
        <v>0</v>
      </c>
      <c r="E155">
        <v>0</v>
      </c>
      <c r="F155">
        <v>0</v>
      </c>
      <c r="G155" t="s">
        <v>23</v>
      </c>
      <c r="H155" s="6" t="s">
        <v>29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0.66666666666666663</v>
      </c>
      <c r="D156">
        <v>4</v>
      </c>
      <c r="E156">
        <v>2</v>
      </c>
      <c r="F156">
        <v>6</v>
      </c>
      <c r="G156" t="s">
        <v>11</v>
      </c>
      <c r="H156" s="6">
        <v>0.4</v>
      </c>
      <c r="I156">
        <v>4</v>
      </c>
      <c r="J156">
        <v>6</v>
      </c>
      <c r="K156">
        <v>10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29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</v>
      </c>
      <c r="D160">
        <v>3</v>
      </c>
      <c r="E160">
        <v>2</v>
      </c>
      <c r="F160">
        <v>5</v>
      </c>
      <c r="G160" t="s">
        <v>7</v>
      </c>
      <c r="H160" s="6">
        <v>0.3125</v>
      </c>
      <c r="I160">
        <v>5</v>
      </c>
      <c r="J160">
        <v>11</v>
      </c>
      <c r="K160">
        <v>16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29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0.66666666666666663</v>
      </c>
      <c r="D162">
        <v>8</v>
      </c>
      <c r="E162">
        <v>4</v>
      </c>
      <c r="F162">
        <v>12</v>
      </c>
      <c r="G162" t="s">
        <v>3</v>
      </c>
      <c r="H162" s="6">
        <v>0.5</v>
      </c>
      <c r="I162">
        <v>6</v>
      </c>
      <c r="J162">
        <v>6</v>
      </c>
      <c r="K162">
        <v>12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0.54545454545454541</v>
      </c>
      <c r="D164">
        <v>6</v>
      </c>
      <c r="E164">
        <v>5</v>
      </c>
      <c r="F164">
        <v>11</v>
      </c>
      <c r="G164" t="s">
        <v>16</v>
      </c>
      <c r="H164" s="6">
        <v>0.6</v>
      </c>
      <c r="I164">
        <v>6</v>
      </c>
      <c r="J164">
        <v>4</v>
      </c>
      <c r="K164">
        <v>10</v>
      </c>
    </row>
    <row r="165" spans="1:11" x14ac:dyDescent="0.25">
      <c r="A165" t="s">
        <v>11</v>
      </c>
      <c r="B165" t="s">
        <v>22</v>
      </c>
      <c r="C165" s="6">
        <v>0.5</v>
      </c>
      <c r="D165">
        <v>4</v>
      </c>
      <c r="E165">
        <v>4</v>
      </c>
      <c r="F165">
        <v>8</v>
      </c>
      <c r="G165" t="s">
        <v>22</v>
      </c>
      <c r="H165" s="6">
        <v>0.7</v>
      </c>
      <c r="I165">
        <v>7</v>
      </c>
      <c r="J165">
        <v>3</v>
      </c>
      <c r="K165">
        <v>10</v>
      </c>
    </row>
    <row r="166" spans="1:11" x14ac:dyDescent="0.25">
      <c r="A166" t="s">
        <v>11</v>
      </c>
      <c r="B166" t="s">
        <v>4</v>
      </c>
      <c r="C166" s="6">
        <v>0.5</v>
      </c>
      <c r="D166">
        <v>3</v>
      </c>
      <c r="E166">
        <v>3</v>
      </c>
      <c r="F166">
        <v>6</v>
      </c>
      <c r="G166" t="s">
        <v>4</v>
      </c>
      <c r="H166" s="6">
        <v>0.55555555555555558</v>
      </c>
      <c r="I166">
        <v>10</v>
      </c>
      <c r="J166">
        <v>8</v>
      </c>
      <c r="K166">
        <v>18</v>
      </c>
    </row>
    <row r="167" spans="1:11" x14ac:dyDescent="0.25">
      <c r="A167" t="s">
        <v>11</v>
      </c>
      <c r="B167" t="s">
        <v>6</v>
      </c>
      <c r="C167" s="6">
        <v>0.7</v>
      </c>
      <c r="D167">
        <v>7</v>
      </c>
      <c r="E167">
        <v>3</v>
      </c>
      <c r="F167">
        <v>10</v>
      </c>
      <c r="G167" t="s">
        <v>6</v>
      </c>
      <c r="H167" s="6">
        <v>0.53333333333333333</v>
      </c>
      <c r="I167">
        <v>8</v>
      </c>
      <c r="J167">
        <v>7</v>
      </c>
      <c r="K167">
        <v>15</v>
      </c>
    </row>
    <row r="168" spans="1:11" x14ac:dyDescent="0.25">
      <c r="A168" t="s">
        <v>11</v>
      </c>
      <c r="B168" t="s">
        <v>5</v>
      </c>
      <c r="C168" s="6">
        <v>0.5714285714285714</v>
      </c>
      <c r="D168">
        <v>4</v>
      </c>
      <c r="E168">
        <v>3</v>
      </c>
      <c r="F168">
        <v>7</v>
      </c>
      <c r="G168" t="s">
        <v>5</v>
      </c>
      <c r="H168" s="6">
        <v>0.58823529411764708</v>
      </c>
      <c r="I168">
        <v>10</v>
      </c>
      <c r="J168">
        <v>7</v>
      </c>
      <c r="K168">
        <v>17</v>
      </c>
    </row>
    <row r="169" spans="1:11" x14ac:dyDescent="0.25">
      <c r="A169" t="s">
        <v>11</v>
      </c>
      <c r="B169" t="s">
        <v>8</v>
      </c>
      <c r="C169" s="6">
        <v>0.5</v>
      </c>
      <c r="D169">
        <v>2</v>
      </c>
      <c r="E169">
        <v>2</v>
      </c>
      <c r="F169">
        <v>4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0.6428571428571429</v>
      </c>
      <c r="D170">
        <v>9</v>
      </c>
      <c r="E170">
        <v>5</v>
      </c>
      <c r="F170">
        <v>14</v>
      </c>
      <c r="G170" t="s">
        <v>12</v>
      </c>
      <c r="H170" s="6">
        <v>0.55555555555555558</v>
      </c>
      <c r="I170">
        <v>5</v>
      </c>
      <c r="J170">
        <v>4</v>
      </c>
      <c r="K170">
        <v>9</v>
      </c>
    </row>
    <row r="171" spans="1:11" x14ac:dyDescent="0.25">
      <c r="A171" t="s">
        <v>11</v>
      </c>
      <c r="B171" t="s">
        <v>23</v>
      </c>
      <c r="C171" s="6">
        <v>0.66666666666666663</v>
      </c>
      <c r="D171">
        <v>4</v>
      </c>
      <c r="E171">
        <v>2</v>
      </c>
      <c r="F171">
        <v>6</v>
      </c>
      <c r="G171" t="s">
        <v>23</v>
      </c>
      <c r="H171" s="6">
        <v>0.6</v>
      </c>
      <c r="I171">
        <v>6</v>
      </c>
      <c r="J171">
        <v>4</v>
      </c>
      <c r="K171">
        <v>10</v>
      </c>
    </row>
    <row r="172" spans="1:11" x14ac:dyDescent="0.25">
      <c r="A172" t="s">
        <v>11</v>
      </c>
      <c r="B172" t="s">
        <v>11</v>
      </c>
      <c r="C172" s="6" t="s">
        <v>29</v>
      </c>
      <c r="D172">
        <v>0</v>
      </c>
      <c r="E172">
        <v>0</v>
      </c>
      <c r="F172">
        <v>0</v>
      </c>
      <c r="G172" t="s">
        <v>11</v>
      </c>
      <c r="H172" s="6" t="s">
        <v>29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0.7142857142857143</v>
      </c>
      <c r="I173">
        <v>5</v>
      </c>
      <c r="J173">
        <v>2</v>
      </c>
      <c r="K173">
        <v>7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29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0.875</v>
      </c>
      <c r="D176">
        <v>7</v>
      </c>
      <c r="E176">
        <v>1</v>
      </c>
      <c r="F176">
        <v>8</v>
      </c>
      <c r="G176" t="s">
        <v>7</v>
      </c>
      <c r="H176" s="6">
        <v>0.45454545454545453</v>
      </c>
      <c r="I176">
        <v>5</v>
      </c>
      <c r="J176">
        <v>6</v>
      </c>
      <c r="K176">
        <v>11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29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0.2</v>
      </c>
      <c r="D178">
        <v>1</v>
      </c>
      <c r="E178">
        <v>4</v>
      </c>
      <c r="F178">
        <v>5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29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0.16666666666666666</v>
      </c>
      <c r="D180">
        <v>1</v>
      </c>
      <c r="E180">
        <v>5</v>
      </c>
      <c r="F180">
        <v>6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0.5714285714285714</v>
      </c>
      <c r="I181">
        <v>4</v>
      </c>
      <c r="J181">
        <v>3</v>
      </c>
      <c r="K181">
        <v>7</v>
      </c>
    </row>
    <row r="182" spans="1:11" x14ac:dyDescent="0.25">
      <c r="A182" t="s">
        <v>9</v>
      </c>
      <c r="B182" t="s">
        <v>4</v>
      </c>
      <c r="C182" s="6">
        <v>0.35714285714285715</v>
      </c>
      <c r="D182">
        <v>5</v>
      </c>
      <c r="E182">
        <v>9</v>
      </c>
      <c r="F182">
        <v>14</v>
      </c>
      <c r="G182" t="s">
        <v>4</v>
      </c>
      <c r="H182" s="6">
        <v>0.3</v>
      </c>
      <c r="I182">
        <v>3</v>
      </c>
      <c r="J182">
        <v>7</v>
      </c>
      <c r="K182">
        <v>10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</v>
      </c>
      <c r="I183">
        <v>3</v>
      </c>
      <c r="J183">
        <v>7</v>
      </c>
      <c r="K183">
        <v>10</v>
      </c>
    </row>
    <row r="184" spans="1:11" x14ac:dyDescent="0.25">
      <c r="A184" t="s">
        <v>9</v>
      </c>
      <c r="B184" t="s">
        <v>5</v>
      </c>
      <c r="C184" s="6">
        <v>0.36363636363636365</v>
      </c>
      <c r="D184">
        <v>4</v>
      </c>
      <c r="E184">
        <v>7</v>
      </c>
      <c r="F184">
        <v>11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0.25</v>
      </c>
      <c r="I185">
        <v>2</v>
      </c>
      <c r="J185">
        <v>6</v>
      </c>
      <c r="K185">
        <v>8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0.23076923076923078</v>
      </c>
      <c r="I186">
        <v>3</v>
      </c>
      <c r="J186">
        <v>10</v>
      </c>
      <c r="K186">
        <v>13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0.2857142857142857</v>
      </c>
      <c r="I188">
        <v>2</v>
      </c>
      <c r="J188">
        <v>5</v>
      </c>
      <c r="K188">
        <v>7</v>
      </c>
    </row>
    <row r="189" spans="1:11" x14ac:dyDescent="0.25">
      <c r="A189" t="s">
        <v>9</v>
      </c>
      <c r="B189" t="s">
        <v>9</v>
      </c>
      <c r="C189" s="6" t="s">
        <v>29</v>
      </c>
      <c r="D189">
        <v>0</v>
      </c>
      <c r="E189">
        <v>0</v>
      </c>
      <c r="F189">
        <v>0</v>
      </c>
      <c r="G189" t="s">
        <v>9</v>
      </c>
      <c r="H189" s="6" t="s">
        <v>29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29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0.66666666666666663</v>
      </c>
      <c r="D192">
        <v>4</v>
      </c>
      <c r="E192">
        <v>2</v>
      </c>
      <c r="F192">
        <v>6</v>
      </c>
      <c r="G192" t="s">
        <v>7</v>
      </c>
      <c r="H192" s="6">
        <v>7.6923076923076927E-2</v>
      </c>
      <c r="I192">
        <v>1</v>
      </c>
      <c r="J192">
        <v>12</v>
      </c>
      <c r="K192">
        <v>13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29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29</v>
      </c>
      <c r="D195">
        <v>0</v>
      </c>
      <c r="E195">
        <v>0</v>
      </c>
      <c r="F195">
        <v>0</v>
      </c>
      <c r="G195" t="s">
        <v>18</v>
      </c>
      <c r="H195" s="6" t="s">
        <v>29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29</v>
      </c>
      <c r="D206">
        <v>0</v>
      </c>
      <c r="E206">
        <v>0</v>
      </c>
      <c r="F206">
        <v>0</v>
      </c>
      <c r="G206" t="s">
        <v>24</v>
      </c>
      <c r="H206" s="6" t="s">
        <v>29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29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29</v>
      </c>
      <c r="D211">
        <v>0</v>
      </c>
      <c r="E211">
        <v>0</v>
      </c>
      <c r="F211">
        <v>0</v>
      </c>
      <c r="G211" t="s">
        <v>18</v>
      </c>
      <c r="H211" s="6" t="s">
        <v>29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29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29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29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29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29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29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29</v>
      </c>
      <c r="D223">
        <v>0</v>
      </c>
      <c r="E223">
        <v>0</v>
      </c>
      <c r="F223">
        <v>0</v>
      </c>
      <c r="G223" t="s">
        <v>26</v>
      </c>
      <c r="H223" s="6" t="s">
        <v>29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29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29</v>
      </c>
      <c r="D225">
        <v>0</v>
      </c>
      <c r="E225">
        <v>0</v>
      </c>
      <c r="F225">
        <v>0</v>
      </c>
      <c r="G225" t="s">
        <v>10</v>
      </c>
      <c r="H225" s="6" t="s">
        <v>29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0.73684210526315785</v>
      </c>
      <c r="D226">
        <v>14</v>
      </c>
      <c r="E226">
        <v>5</v>
      </c>
      <c r="F226">
        <v>19</v>
      </c>
      <c r="G226" t="s">
        <v>3</v>
      </c>
      <c r="H226" s="6">
        <v>0.66666666666666663</v>
      </c>
      <c r="I226">
        <v>6</v>
      </c>
      <c r="J226">
        <v>3</v>
      </c>
      <c r="K226">
        <v>9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0.6428571428571429</v>
      </c>
      <c r="D228">
        <v>9</v>
      </c>
      <c r="E228">
        <v>5</v>
      </c>
      <c r="F228">
        <v>14</v>
      </c>
      <c r="G228" t="s">
        <v>16</v>
      </c>
      <c r="H228" s="6">
        <v>0.72727272727272729</v>
      </c>
      <c r="I228">
        <v>8</v>
      </c>
      <c r="J228">
        <v>3</v>
      </c>
      <c r="K228">
        <v>11</v>
      </c>
    </row>
    <row r="229" spans="1:11" x14ac:dyDescent="0.25">
      <c r="A229" t="s">
        <v>7</v>
      </c>
      <c r="B229" t="s">
        <v>22</v>
      </c>
      <c r="C229" s="6">
        <v>0.54545454545454541</v>
      </c>
      <c r="D229">
        <v>6</v>
      </c>
      <c r="E229">
        <v>5</v>
      </c>
      <c r="F229">
        <v>11</v>
      </c>
      <c r="G229" t="s">
        <v>22</v>
      </c>
      <c r="H229" s="6">
        <v>0.76923076923076927</v>
      </c>
      <c r="I229">
        <v>10</v>
      </c>
      <c r="J229">
        <v>3</v>
      </c>
      <c r="K229">
        <v>13</v>
      </c>
    </row>
    <row r="230" spans="1:11" x14ac:dyDescent="0.25">
      <c r="A230" t="s">
        <v>7</v>
      </c>
      <c r="B230" t="s">
        <v>4</v>
      </c>
      <c r="C230" s="6">
        <v>0.8571428571428571</v>
      </c>
      <c r="D230">
        <v>12</v>
      </c>
      <c r="E230">
        <v>2</v>
      </c>
      <c r="F230">
        <v>14</v>
      </c>
      <c r="G230" t="s">
        <v>4</v>
      </c>
      <c r="H230" s="6">
        <v>0.68421052631578949</v>
      </c>
      <c r="I230">
        <v>13</v>
      </c>
      <c r="J230">
        <v>6</v>
      </c>
      <c r="K230">
        <v>19</v>
      </c>
    </row>
    <row r="231" spans="1:11" x14ac:dyDescent="0.25">
      <c r="A231" t="s">
        <v>7</v>
      </c>
      <c r="B231" t="s">
        <v>6</v>
      </c>
      <c r="C231" s="6">
        <v>0.84615384615384615</v>
      </c>
      <c r="D231">
        <v>11</v>
      </c>
      <c r="E231">
        <v>2</v>
      </c>
      <c r="F231">
        <v>13</v>
      </c>
      <c r="G231" t="s">
        <v>6</v>
      </c>
      <c r="H231" s="6">
        <v>0.6875</v>
      </c>
      <c r="I231">
        <v>11</v>
      </c>
      <c r="J231">
        <v>5</v>
      </c>
      <c r="K231">
        <v>16</v>
      </c>
    </row>
    <row r="232" spans="1:11" x14ac:dyDescent="0.25">
      <c r="A232" t="s">
        <v>7</v>
      </c>
      <c r="B232" t="s">
        <v>5</v>
      </c>
      <c r="C232" s="6">
        <v>0.76923076923076927</v>
      </c>
      <c r="D232">
        <v>10</v>
      </c>
      <c r="E232">
        <v>3</v>
      </c>
      <c r="F232">
        <v>13</v>
      </c>
      <c r="G232" t="s">
        <v>5</v>
      </c>
      <c r="H232" s="6">
        <v>0.68421052631578949</v>
      </c>
      <c r="I232">
        <v>13</v>
      </c>
      <c r="J232">
        <v>6</v>
      </c>
      <c r="K232">
        <v>19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0.7142857142857143</v>
      </c>
      <c r="I233">
        <v>10</v>
      </c>
      <c r="J233">
        <v>4</v>
      </c>
      <c r="K233">
        <v>14</v>
      </c>
    </row>
    <row r="234" spans="1:11" x14ac:dyDescent="0.25">
      <c r="A234" t="s">
        <v>7</v>
      </c>
      <c r="B234" t="s">
        <v>12</v>
      </c>
      <c r="C234" s="6">
        <v>0.68421052631578949</v>
      </c>
      <c r="D234">
        <v>13</v>
      </c>
      <c r="E234">
        <v>6</v>
      </c>
      <c r="F234">
        <v>19</v>
      </c>
      <c r="G234" t="s">
        <v>12</v>
      </c>
      <c r="H234" s="6">
        <v>0.75</v>
      </c>
      <c r="I234">
        <v>9</v>
      </c>
      <c r="J234">
        <v>3</v>
      </c>
      <c r="K234">
        <v>12</v>
      </c>
    </row>
    <row r="235" spans="1:11" x14ac:dyDescent="0.25">
      <c r="A235" t="s">
        <v>7</v>
      </c>
      <c r="B235" t="s">
        <v>23</v>
      </c>
      <c r="C235" s="6">
        <v>0.6</v>
      </c>
      <c r="D235">
        <v>3</v>
      </c>
      <c r="E235">
        <v>2</v>
      </c>
      <c r="F235">
        <v>5</v>
      </c>
      <c r="G235" t="s">
        <v>23</v>
      </c>
      <c r="H235" s="6">
        <v>0.6875</v>
      </c>
      <c r="I235">
        <v>11</v>
      </c>
      <c r="J235">
        <v>5</v>
      </c>
      <c r="K235">
        <v>16</v>
      </c>
    </row>
    <row r="236" spans="1:11" x14ac:dyDescent="0.25">
      <c r="A236" t="s">
        <v>7</v>
      </c>
      <c r="B236" t="s">
        <v>11</v>
      </c>
      <c r="C236" s="6">
        <v>0.875</v>
      </c>
      <c r="D236">
        <v>7</v>
      </c>
      <c r="E236">
        <v>1</v>
      </c>
      <c r="F236">
        <v>8</v>
      </c>
      <c r="G236" t="s">
        <v>11</v>
      </c>
      <c r="H236" s="6">
        <v>0.54545454545454541</v>
      </c>
      <c r="I236">
        <v>6</v>
      </c>
      <c r="J236">
        <v>5</v>
      </c>
      <c r="K236">
        <v>11</v>
      </c>
    </row>
    <row r="237" spans="1:11" x14ac:dyDescent="0.25">
      <c r="A237" t="s">
        <v>7</v>
      </c>
      <c r="B237" t="s">
        <v>9</v>
      </c>
      <c r="C237" s="6">
        <v>0.66666666666666663</v>
      </c>
      <c r="D237">
        <v>4</v>
      </c>
      <c r="E237">
        <v>2</v>
      </c>
      <c r="F237">
        <v>6</v>
      </c>
      <c r="G237" t="s">
        <v>9</v>
      </c>
      <c r="H237" s="6">
        <v>0.92307692307692313</v>
      </c>
      <c r="I237">
        <v>12</v>
      </c>
      <c r="J237">
        <v>1</v>
      </c>
      <c r="K237">
        <v>13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29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29</v>
      </c>
      <c r="D240">
        <v>0</v>
      </c>
      <c r="E240">
        <v>0</v>
      </c>
      <c r="F240">
        <v>0</v>
      </c>
      <c r="G240" t="s">
        <v>7</v>
      </c>
      <c r="H240" s="6" t="s">
        <v>29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29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29</v>
      </c>
      <c r="D243">
        <v>0</v>
      </c>
      <c r="E243">
        <v>0</v>
      </c>
      <c r="F243">
        <v>0</v>
      </c>
      <c r="G243" t="s">
        <v>18</v>
      </c>
      <c r="H243" s="6" t="s">
        <v>29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29</v>
      </c>
      <c r="D244">
        <v>0</v>
      </c>
      <c r="E244">
        <v>0</v>
      </c>
      <c r="F244">
        <v>0</v>
      </c>
      <c r="G244" t="s">
        <v>16</v>
      </c>
      <c r="H244" s="6" t="s">
        <v>29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29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29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29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29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29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29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29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29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29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29</v>
      </c>
      <c r="D255">
        <v>0</v>
      </c>
      <c r="E255">
        <v>0</v>
      </c>
      <c r="F255">
        <v>0</v>
      </c>
      <c r="G255" t="s">
        <v>26</v>
      </c>
      <c r="H255" s="6" t="s">
        <v>29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29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29</v>
      </c>
      <c r="D257">
        <v>0</v>
      </c>
      <c r="E257">
        <v>0</v>
      </c>
      <c r="F257">
        <v>0</v>
      </c>
      <c r="G257" t="s">
        <v>10</v>
      </c>
      <c r="H257" s="6" t="s">
        <v>29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32</v>
      </c>
      <c r="C1" s="1" t="s">
        <v>34</v>
      </c>
      <c r="F1" t="s">
        <v>49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E209"/>
  <sheetViews>
    <sheetView topLeftCell="A159" workbookViewId="0">
      <selection activeCell="A194" sqref="A194:A209"/>
    </sheetView>
  </sheetViews>
  <sheetFormatPr defaultRowHeight="15" x14ac:dyDescent="0.25"/>
  <cols>
    <col min="1" max="1" width="9.140625" style="12"/>
    <col min="2" max="2" width="11.140625" style="14" customWidth="1"/>
    <col min="3" max="3" width="10.42578125" style="6" customWidth="1"/>
    <col min="4" max="4" width="12.42578125" style="12" customWidth="1"/>
    <col min="5" max="5" width="13.140625" style="12" customWidth="1"/>
  </cols>
  <sheetData>
    <row r="1" spans="1:5" s="11" customFormat="1" ht="45" x14ac:dyDescent="0.25">
      <c r="A1" s="26" t="s">
        <v>27</v>
      </c>
      <c r="B1" s="16" t="s">
        <v>42</v>
      </c>
      <c r="C1" s="15" t="s">
        <v>50</v>
      </c>
      <c r="D1" s="15" t="s">
        <v>43</v>
      </c>
      <c r="E1" s="15" t="s">
        <v>44</v>
      </c>
    </row>
    <row r="2" spans="1:5" s="6" customFormat="1" x14ac:dyDescent="0.25">
      <c r="A2" s="12" t="s">
        <v>3</v>
      </c>
      <c r="B2" s="14">
        <v>44837</v>
      </c>
      <c r="D2" s="12">
        <v>0</v>
      </c>
      <c r="E2" s="12">
        <v>0</v>
      </c>
    </row>
    <row r="3" spans="1:5" s="6" customFormat="1" x14ac:dyDescent="0.25">
      <c r="A3" s="12" t="s">
        <v>18</v>
      </c>
      <c r="B3" s="14">
        <v>44837</v>
      </c>
      <c r="D3" s="12">
        <v>0</v>
      </c>
      <c r="E3" s="12">
        <v>0</v>
      </c>
    </row>
    <row r="4" spans="1:5" s="6" customFormat="1" x14ac:dyDescent="0.25">
      <c r="A4" s="12" t="s">
        <v>16</v>
      </c>
      <c r="B4" s="14">
        <v>44837</v>
      </c>
      <c r="D4" s="12">
        <v>0</v>
      </c>
      <c r="E4" s="12">
        <v>0</v>
      </c>
    </row>
    <row r="5" spans="1:5" s="6" customFormat="1" x14ac:dyDescent="0.25">
      <c r="A5" s="12" t="s">
        <v>22</v>
      </c>
      <c r="B5" s="14">
        <v>44837</v>
      </c>
      <c r="D5" s="12">
        <v>0</v>
      </c>
      <c r="E5" s="12">
        <v>0</v>
      </c>
    </row>
    <row r="6" spans="1:5" s="6" customFormat="1" x14ac:dyDescent="0.25">
      <c r="A6" s="12" t="s">
        <v>4</v>
      </c>
      <c r="B6" s="14">
        <v>44837</v>
      </c>
      <c r="D6" s="12">
        <v>0</v>
      </c>
      <c r="E6" s="12">
        <v>0</v>
      </c>
    </row>
    <row r="7" spans="1:5" s="6" customFormat="1" x14ac:dyDescent="0.25">
      <c r="A7" s="12" t="s">
        <v>6</v>
      </c>
      <c r="B7" s="14">
        <v>44837</v>
      </c>
      <c r="D7" s="12">
        <v>0</v>
      </c>
      <c r="E7" s="12">
        <v>0</v>
      </c>
    </row>
    <row r="8" spans="1:5" s="6" customFormat="1" x14ac:dyDescent="0.25">
      <c r="A8" s="12" t="s">
        <v>5</v>
      </c>
      <c r="B8" s="14">
        <v>44837</v>
      </c>
      <c r="D8" s="12">
        <v>0</v>
      </c>
      <c r="E8" s="12">
        <v>0</v>
      </c>
    </row>
    <row r="9" spans="1:5" s="6" customFormat="1" x14ac:dyDescent="0.25">
      <c r="A9" s="12" t="s">
        <v>8</v>
      </c>
      <c r="B9" s="14">
        <v>44837</v>
      </c>
      <c r="D9" s="12">
        <v>0</v>
      </c>
      <c r="E9" s="12">
        <v>0</v>
      </c>
    </row>
    <row r="10" spans="1:5" s="6" customFormat="1" x14ac:dyDescent="0.25">
      <c r="A10" s="12" t="s">
        <v>12</v>
      </c>
      <c r="B10" s="14">
        <v>44837</v>
      </c>
      <c r="D10" s="12">
        <v>0</v>
      </c>
      <c r="E10" s="12">
        <v>0</v>
      </c>
    </row>
    <row r="11" spans="1:5" s="6" customFormat="1" x14ac:dyDescent="0.25">
      <c r="A11" s="12" t="s">
        <v>23</v>
      </c>
      <c r="B11" s="14">
        <v>44837</v>
      </c>
      <c r="D11" s="12">
        <v>0</v>
      </c>
      <c r="E11" s="12">
        <v>0</v>
      </c>
    </row>
    <row r="12" spans="1:5" s="6" customFormat="1" x14ac:dyDescent="0.25">
      <c r="A12" s="12" t="s">
        <v>11</v>
      </c>
      <c r="B12" s="14">
        <v>44837</v>
      </c>
      <c r="D12" s="12">
        <v>0</v>
      </c>
      <c r="E12" s="12">
        <v>0</v>
      </c>
    </row>
    <row r="13" spans="1:5" s="6" customFormat="1" x14ac:dyDescent="0.25">
      <c r="A13" s="12" t="s">
        <v>9</v>
      </c>
      <c r="B13" s="14">
        <v>44837</v>
      </c>
      <c r="D13" s="12">
        <v>0</v>
      </c>
      <c r="E13" s="12">
        <v>0</v>
      </c>
    </row>
    <row r="14" spans="1:5" s="6" customFormat="1" x14ac:dyDescent="0.25">
      <c r="A14" s="12" t="s">
        <v>24</v>
      </c>
      <c r="B14" s="14">
        <v>44837</v>
      </c>
      <c r="D14" s="12">
        <v>0</v>
      </c>
      <c r="E14" s="12">
        <v>0</v>
      </c>
    </row>
    <row r="15" spans="1:5" s="6" customFormat="1" x14ac:dyDescent="0.25">
      <c r="A15" s="12" t="s">
        <v>26</v>
      </c>
      <c r="B15" s="14">
        <v>44837</v>
      </c>
      <c r="D15" s="12">
        <v>0</v>
      </c>
      <c r="E15" s="12">
        <v>0</v>
      </c>
    </row>
    <row r="16" spans="1:5" s="6" customFormat="1" x14ac:dyDescent="0.25">
      <c r="A16" s="12" t="s">
        <v>7</v>
      </c>
      <c r="B16" s="14">
        <v>44837</v>
      </c>
      <c r="D16" s="12">
        <v>0</v>
      </c>
      <c r="E16" s="12">
        <v>0</v>
      </c>
    </row>
    <row r="17" spans="1:5" s="6" customFormat="1" x14ac:dyDescent="0.25">
      <c r="A17" s="12" t="s">
        <v>10</v>
      </c>
      <c r="B17" s="14">
        <v>44837</v>
      </c>
      <c r="D17" s="12">
        <v>0</v>
      </c>
      <c r="E17" s="12">
        <v>0</v>
      </c>
    </row>
    <row r="18" spans="1:5" x14ac:dyDescent="0.25">
      <c r="A18" s="12" t="s">
        <v>3</v>
      </c>
      <c r="B18" s="14">
        <v>44844</v>
      </c>
      <c r="D18" s="12">
        <v>0</v>
      </c>
      <c r="E18" s="12">
        <v>0</v>
      </c>
    </row>
    <row r="19" spans="1:5" x14ac:dyDescent="0.25">
      <c r="A19" s="12" t="s">
        <v>18</v>
      </c>
      <c r="B19" s="14">
        <v>44844</v>
      </c>
      <c r="D19" s="12">
        <v>0</v>
      </c>
      <c r="E19" s="12">
        <v>0</v>
      </c>
    </row>
    <row r="20" spans="1:5" x14ac:dyDescent="0.25">
      <c r="A20" s="12" t="s">
        <v>16</v>
      </c>
      <c r="B20" s="14">
        <v>44844</v>
      </c>
      <c r="C20" s="6">
        <v>0</v>
      </c>
      <c r="D20" s="12">
        <v>0</v>
      </c>
      <c r="E20" s="12">
        <v>2</v>
      </c>
    </row>
    <row r="21" spans="1:5" x14ac:dyDescent="0.25">
      <c r="A21" s="12" t="s">
        <v>22</v>
      </c>
      <c r="B21" s="14">
        <v>44844</v>
      </c>
      <c r="C21" s="6">
        <v>0.5</v>
      </c>
      <c r="D21" s="12">
        <v>1</v>
      </c>
      <c r="E21" s="12">
        <v>2</v>
      </c>
    </row>
    <row r="22" spans="1:5" x14ac:dyDescent="0.25">
      <c r="A22" s="12" t="s">
        <v>4</v>
      </c>
      <c r="B22" s="14">
        <v>44844</v>
      </c>
      <c r="C22" s="6">
        <v>0.5</v>
      </c>
      <c r="D22" s="12">
        <v>1</v>
      </c>
      <c r="E22" s="12">
        <v>2</v>
      </c>
    </row>
    <row r="23" spans="1:5" x14ac:dyDescent="0.25">
      <c r="A23" s="12" t="s">
        <v>6</v>
      </c>
      <c r="B23" s="14">
        <v>44844</v>
      </c>
      <c r="C23" s="6">
        <v>0</v>
      </c>
      <c r="D23" s="12">
        <v>0</v>
      </c>
      <c r="E23" s="12">
        <v>2</v>
      </c>
    </row>
    <row r="24" spans="1:5" x14ac:dyDescent="0.25">
      <c r="A24" s="12" t="s">
        <v>5</v>
      </c>
      <c r="B24" s="14">
        <v>44844</v>
      </c>
      <c r="C24" s="6">
        <v>0.5</v>
      </c>
      <c r="D24" s="12">
        <v>1</v>
      </c>
      <c r="E24" s="12">
        <v>2</v>
      </c>
    </row>
    <row r="25" spans="1:5" x14ac:dyDescent="0.25">
      <c r="A25" s="12" t="s">
        <v>8</v>
      </c>
      <c r="B25" s="14">
        <v>44844</v>
      </c>
      <c r="D25" s="12">
        <v>0</v>
      </c>
      <c r="E25" s="12">
        <v>0</v>
      </c>
    </row>
    <row r="26" spans="1:5" x14ac:dyDescent="0.25">
      <c r="A26" s="12" t="s">
        <v>12</v>
      </c>
      <c r="B26" s="14">
        <v>44844</v>
      </c>
      <c r="C26" s="6">
        <v>1</v>
      </c>
      <c r="D26" s="12">
        <v>2</v>
      </c>
      <c r="E26" s="12">
        <v>2</v>
      </c>
    </row>
    <row r="27" spans="1:5" x14ac:dyDescent="0.25">
      <c r="A27" s="12" t="s">
        <v>23</v>
      </c>
      <c r="B27" s="14">
        <v>44844</v>
      </c>
      <c r="C27" s="6">
        <v>0.5</v>
      </c>
      <c r="D27" s="12">
        <v>1</v>
      </c>
      <c r="E27" s="12">
        <v>2</v>
      </c>
    </row>
    <row r="28" spans="1:5" x14ac:dyDescent="0.25">
      <c r="A28" s="12" t="s">
        <v>11</v>
      </c>
      <c r="B28" s="14">
        <v>44844</v>
      </c>
      <c r="C28" s="6">
        <v>0.5</v>
      </c>
      <c r="D28" s="12">
        <v>1</v>
      </c>
      <c r="E28" s="12">
        <v>2</v>
      </c>
    </row>
    <row r="29" spans="1:5" x14ac:dyDescent="0.25">
      <c r="A29" s="12" t="s">
        <v>9</v>
      </c>
      <c r="B29" s="14">
        <v>44844</v>
      </c>
      <c r="C29" s="6">
        <v>0.5</v>
      </c>
      <c r="D29" s="12">
        <v>1</v>
      </c>
      <c r="E29" s="12">
        <v>2</v>
      </c>
    </row>
    <row r="30" spans="1:5" x14ac:dyDescent="0.25">
      <c r="A30" s="12" t="s">
        <v>24</v>
      </c>
      <c r="B30" s="14">
        <v>44844</v>
      </c>
      <c r="D30" s="12">
        <v>0</v>
      </c>
      <c r="E30" s="12">
        <v>0</v>
      </c>
    </row>
    <row r="31" spans="1:5" x14ac:dyDescent="0.25">
      <c r="A31" s="12" t="s">
        <v>26</v>
      </c>
      <c r="B31" s="14">
        <v>44844</v>
      </c>
      <c r="D31" s="12">
        <v>0</v>
      </c>
      <c r="E31" s="12">
        <v>0</v>
      </c>
    </row>
    <row r="32" spans="1:5" x14ac:dyDescent="0.25">
      <c r="A32" s="12" t="s">
        <v>7</v>
      </c>
      <c r="B32" s="14">
        <v>44844</v>
      </c>
      <c r="C32" s="6">
        <v>1</v>
      </c>
      <c r="D32" s="12">
        <v>2</v>
      </c>
      <c r="E32" s="12">
        <v>2</v>
      </c>
    </row>
    <row r="33" spans="1:5" x14ac:dyDescent="0.25">
      <c r="A33" s="12" t="s">
        <v>10</v>
      </c>
      <c r="B33" s="14">
        <v>44844</v>
      </c>
      <c r="D33" s="12">
        <v>0</v>
      </c>
      <c r="E33" s="12">
        <v>0</v>
      </c>
    </row>
    <row r="34" spans="1:5" x14ac:dyDescent="0.25">
      <c r="A34" s="12" t="s">
        <v>3</v>
      </c>
      <c r="B34" s="14">
        <v>44851</v>
      </c>
      <c r="C34" s="6">
        <v>0.42857142857142855</v>
      </c>
      <c r="D34" s="12">
        <v>3</v>
      </c>
      <c r="E34" s="12">
        <v>7</v>
      </c>
    </row>
    <row r="35" spans="1:5" x14ac:dyDescent="0.25">
      <c r="A35" s="12" t="s">
        <v>18</v>
      </c>
      <c r="B35" s="14">
        <v>44851</v>
      </c>
      <c r="D35" s="12">
        <v>0</v>
      </c>
      <c r="E35" s="12">
        <v>0</v>
      </c>
    </row>
    <row r="36" spans="1:5" x14ac:dyDescent="0.25">
      <c r="A36" s="12" t="s">
        <v>16</v>
      </c>
      <c r="B36" s="14">
        <v>44851</v>
      </c>
      <c r="C36" s="6">
        <v>0.25</v>
      </c>
      <c r="D36" s="12">
        <v>2</v>
      </c>
      <c r="E36" s="12">
        <v>8</v>
      </c>
    </row>
    <row r="37" spans="1:5" x14ac:dyDescent="0.25">
      <c r="A37" s="12" t="s">
        <v>22</v>
      </c>
      <c r="B37" s="14">
        <v>44851</v>
      </c>
      <c r="C37" s="6">
        <v>0.6</v>
      </c>
      <c r="D37" s="12">
        <v>6</v>
      </c>
      <c r="E37" s="12">
        <v>10</v>
      </c>
    </row>
    <row r="38" spans="1:5" x14ac:dyDescent="0.25">
      <c r="A38" s="12" t="s">
        <v>4</v>
      </c>
      <c r="B38" s="14">
        <v>44851</v>
      </c>
      <c r="C38" s="6">
        <v>0.77777777777777779</v>
      </c>
      <c r="D38" s="12">
        <v>7</v>
      </c>
      <c r="E38" s="12">
        <v>9</v>
      </c>
    </row>
    <row r="39" spans="1:5" x14ac:dyDescent="0.25">
      <c r="A39" s="12" t="s">
        <v>6</v>
      </c>
      <c r="B39" s="14">
        <v>44851</v>
      </c>
      <c r="C39" s="6">
        <v>0.4</v>
      </c>
      <c r="D39" s="12">
        <v>4</v>
      </c>
      <c r="E39" s="12">
        <v>10</v>
      </c>
    </row>
    <row r="40" spans="1:5" x14ac:dyDescent="0.25">
      <c r="A40" s="12" t="s">
        <v>5</v>
      </c>
      <c r="B40" s="14">
        <v>44851</v>
      </c>
      <c r="C40" s="6">
        <v>0.375</v>
      </c>
      <c r="D40" s="12">
        <v>3</v>
      </c>
      <c r="E40" s="12">
        <v>8</v>
      </c>
    </row>
    <row r="41" spans="1:5" x14ac:dyDescent="0.25">
      <c r="A41" s="12" t="s">
        <v>8</v>
      </c>
      <c r="B41" s="14">
        <v>44851</v>
      </c>
      <c r="C41" s="6">
        <v>0.4</v>
      </c>
      <c r="D41" s="12">
        <v>2</v>
      </c>
      <c r="E41" s="12">
        <v>5</v>
      </c>
    </row>
    <row r="42" spans="1:5" x14ac:dyDescent="0.25">
      <c r="A42" s="12" t="s">
        <v>12</v>
      </c>
      <c r="B42" s="14">
        <v>44851</v>
      </c>
      <c r="C42" s="6">
        <v>0.6</v>
      </c>
      <c r="D42" s="12">
        <v>6</v>
      </c>
      <c r="E42" s="12">
        <v>10</v>
      </c>
    </row>
    <row r="43" spans="1:5" x14ac:dyDescent="0.25">
      <c r="A43" s="12" t="s">
        <v>23</v>
      </c>
      <c r="B43" s="14">
        <v>44851</v>
      </c>
      <c r="C43" s="6">
        <v>0.5</v>
      </c>
      <c r="D43" s="12">
        <v>1</v>
      </c>
      <c r="E43" s="12">
        <v>2</v>
      </c>
    </row>
    <row r="44" spans="1:5" x14ac:dyDescent="0.25">
      <c r="A44" s="12" t="s">
        <v>11</v>
      </c>
      <c r="B44" s="14">
        <v>44851</v>
      </c>
      <c r="C44" s="6">
        <v>0.5</v>
      </c>
      <c r="D44" s="12">
        <v>2</v>
      </c>
      <c r="E44" s="12">
        <v>4</v>
      </c>
    </row>
    <row r="45" spans="1:5" x14ac:dyDescent="0.25">
      <c r="A45" s="12" t="s">
        <v>9</v>
      </c>
      <c r="B45" s="14">
        <v>44851</v>
      </c>
      <c r="C45" s="6">
        <v>0.6</v>
      </c>
      <c r="D45" s="12">
        <v>3</v>
      </c>
      <c r="E45" s="12">
        <v>5</v>
      </c>
    </row>
    <row r="46" spans="1:5" x14ac:dyDescent="0.25">
      <c r="A46" s="12" t="s">
        <v>24</v>
      </c>
      <c r="B46" s="14">
        <v>44851</v>
      </c>
      <c r="C46" s="6">
        <v>0.33333333333333331</v>
      </c>
      <c r="D46" s="12">
        <v>2</v>
      </c>
      <c r="E46" s="12">
        <v>6</v>
      </c>
    </row>
    <row r="47" spans="1:5" x14ac:dyDescent="0.25">
      <c r="A47" s="12" t="s">
        <v>26</v>
      </c>
      <c r="B47" s="14">
        <v>44851</v>
      </c>
      <c r="C47" s="6">
        <v>0.33333333333333331</v>
      </c>
      <c r="D47" s="12">
        <v>1</v>
      </c>
      <c r="E47" s="12">
        <v>3</v>
      </c>
    </row>
    <row r="48" spans="1:5" x14ac:dyDescent="0.25">
      <c r="A48" s="12" t="s">
        <v>7</v>
      </c>
      <c r="B48" s="14">
        <v>44851</v>
      </c>
      <c r="C48" s="6">
        <v>0.8571428571428571</v>
      </c>
      <c r="D48" s="12">
        <v>6</v>
      </c>
      <c r="E48" s="12">
        <v>7</v>
      </c>
    </row>
    <row r="49" spans="1:5" x14ac:dyDescent="0.25">
      <c r="A49" s="12" t="s">
        <v>10</v>
      </c>
      <c r="B49" s="14">
        <v>44851</v>
      </c>
      <c r="D49" s="12">
        <v>0</v>
      </c>
      <c r="E49" s="12">
        <v>0</v>
      </c>
    </row>
    <row r="50" spans="1:5" x14ac:dyDescent="0.25">
      <c r="A50" s="12" t="s">
        <v>3</v>
      </c>
      <c r="B50" s="14">
        <v>44858</v>
      </c>
      <c r="C50" s="6">
        <v>0.42857142857142855</v>
      </c>
      <c r="D50" s="12">
        <v>3</v>
      </c>
      <c r="E50" s="12">
        <v>7</v>
      </c>
    </row>
    <row r="51" spans="1:5" x14ac:dyDescent="0.25">
      <c r="A51" s="12" t="s">
        <v>18</v>
      </c>
      <c r="B51" s="14">
        <v>44858</v>
      </c>
      <c r="D51" s="12">
        <v>0</v>
      </c>
      <c r="E51" s="12">
        <v>0</v>
      </c>
    </row>
    <row r="52" spans="1:5" x14ac:dyDescent="0.25">
      <c r="A52" s="12" t="s">
        <v>16</v>
      </c>
      <c r="B52" s="14">
        <v>44858</v>
      </c>
      <c r="C52" s="6">
        <v>0.25</v>
      </c>
      <c r="D52" s="12">
        <v>2</v>
      </c>
      <c r="E52" s="12">
        <v>8</v>
      </c>
    </row>
    <row r="53" spans="1:5" x14ac:dyDescent="0.25">
      <c r="A53" s="12" t="s">
        <v>22</v>
      </c>
      <c r="B53" s="14">
        <v>44858</v>
      </c>
      <c r="C53" s="6">
        <v>0.6</v>
      </c>
      <c r="D53" s="12">
        <v>6</v>
      </c>
      <c r="E53" s="12">
        <v>10</v>
      </c>
    </row>
    <row r="54" spans="1:5" x14ac:dyDescent="0.25">
      <c r="A54" s="12" t="s">
        <v>4</v>
      </c>
      <c r="B54" s="14">
        <v>44858</v>
      </c>
      <c r="C54" s="6">
        <v>0.77777777777777779</v>
      </c>
      <c r="D54" s="12">
        <v>7</v>
      </c>
      <c r="E54" s="12">
        <v>9</v>
      </c>
    </row>
    <row r="55" spans="1:5" x14ac:dyDescent="0.25">
      <c r="A55" s="12" t="s">
        <v>6</v>
      </c>
      <c r="B55" s="14">
        <v>44858</v>
      </c>
      <c r="C55" s="6">
        <v>0.4</v>
      </c>
      <c r="D55" s="12">
        <v>4</v>
      </c>
      <c r="E55" s="12">
        <v>10</v>
      </c>
    </row>
    <row r="56" spans="1:5" x14ac:dyDescent="0.25">
      <c r="A56" s="12" t="s">
        <v>5</v>
      </c>
      <c r="B56" s="14">
        <v>44858</v>
      </c>
      <c r="C56" s="6">
        <v>0.375</v>
      </c>
      <c r="D56" s="12">
        <v>3</v>
      </c>
      <c r="E56" s="12">
        <v>8</v>
      </c>
    </row>
    <row r="57" spans="1:5" x14ac:dyDescent="0.25">
      <c r="A57" s="12" t="s">
        <v>8</v>
      </c>
      <c r="B57" s="14">
        <v>44858</v>
      </c>
      <c r="C57" s="6">
        <v>0.4</v>
      </c>
      <c r="D57" s="12">
        <v>2</v>
      </c>
      <c r="E57" s="12">
        <v>5</v>
      </c>
    </row>
    <row r="58" spans="1:5" x14ac:dyDescent="0.25">
      <c r="A58" s="12" t="s">
        <v>12</v>
      </c>
      <c r="B58" s="14">
        <v>44858</v>
      </c>
      <c r="C58" s="6">
        <v>0.6</v>
      </c>
      <c r="D58" s="12">
        <v>6</v>
      </c>
      <c r="E58" s="12">
        <v>10</v>
      </c>
    </row>
    <row r="59" spans="1:5" x14ac:dyDescent="0.25">
      <c r="A59" s="12" t="s">
        <v>23</v>
      </c>
      <c r="B59" s="14">
        <v>44858</v>
      </c>
      <c r="C59" s="6">
        <v>0.5</v>
      </c>
      <c r="D59" s="12">
        <v>1</v>
      </c>
      <c r="E59" s="12">
        <v>2</v>
      </c>
    </row>
    <row r="60" spans="1:5" x14ac:dyDescent="0.25">
      <c r="A60" s="12" t="s">
        <v>11</v>
      </c>
      <c r="B60" s="14">
        <v>44858</v>
      </c>
      <c r="C60" s="6">
        <v>0.5</v>
      </c>
      <c r="D60" s="12">
        <v>2</v>
      </c>
      <c r="E60" s="12">
        <v>4</v>
      </c>
    </row>
    <row r="61" spans="1:5" x14ac:dyDescent="0.25">
      <c r="A61" s="12" t="s">
        <v>9</v>
      </c>
      <c r="B61" s="14">
        <v>44858</v>
      </c>
      <c r="C61" s="6">
        <v>0.6</v>
      </c>
      <c r="D61" s="12">
        <v>3</v>
      </c>
      <c r="E61" s="12">
        <v>5</v>
      </c>
    </row>
    <row r="62" spans="1:5" x14ac:dyDescent="0.25">
      <c r="A62" s="12" t="s">
        <v>24</v>
      </c>
      <c r="B62" s="14">
        <v>44858</v>
      </c>
      <c r="C62" s="6">
        <v>0.33333333333333331</v>
      </c>
      <c r="D62" s="12">
        <v>2</v>
      </c>
      <c r="E62" s="12">
        <v>6</v>
      </c>
    </row>
    <row r="63" spans="1:5" x14ac:dyDescent="0.25">
      <c r="A63" s="12" t="s">
        <v>26</v>
      </c>
      <c r="B63" s="14">
        <v>44858</v>
      </c>
      <c r="C63" s="6">
        <v>0.33333333333333331</v>
      </c>
      <c r="D63" s="12">
        <v>1</v>
      </c>
      <c r="E63" s="12">
        <v>3</v>
      </c>
    </row>
    <row r="64" spans="1:5" x14ac:dyDescent="0.25">
      <c r="A64" s="12" t="s">
        <v>7</v>
      </c>
      <c r="B64" s="14">
        <v>44858</v>
      </c>
      <c r="C64" s="6">
        <v>0.8571428571428571</v>
      </c>
      <c r="D64" s="12">
        <v>6</v>
      </c>
      <c r="E64" s="12">
        <v>7</v>
      </c>
    </row>
    <row r="65" spans="1:5" x14ac:dyDescent="0.25">
      <c r="A65" s="12" t="s">
        <v>10</v>
      </c>
      <c r="B65" s="14">
        <v>44858</v>
      </c>
      <c r="D65" s="12">
        <v>0</v>
      </c>
      <c r="E65" s="12">
        <v>0</v>
      </c>
    </row>
    <row r="66" spans="1:5" x14ac:dyDescent="0.25">
      <c r="A66" s="12" t="s">
        <v>3</v>
      </c>
      <c r="B66" s="14">
        <v>44865</v>
      </c>
      <c r="C66" s="6">
        <v>0.375</v>
      </c>
      <c r="D66" s="12">
        <v>3</v>
      </c>
      <c r="E66" s="12">
        <v>8</v>
      </c>
    </row>
    <row r="67" spans="1:5" x14ac:dyDescent="0.25">
      <c r="A67" s="12" t="s">
        <v>18</v>
      </c>
      <c r="B67" s="14">
        <v>44865</v>
      </c>
      <c r="D67" s="12">
        <v>0</v>
      </c>
      <c r="E67" s="12">
        <v>0</v>
      </c>
    </row>
    <row r="68" spans="1:5" x14ac:dyDescent="0.25">
      <c r="A68" s="12" t="s">
        <v>16</v>
      </c>
      <c r="B68" s="14">
        <v>44865</v>
      </c>
      <c r="C68" s="6">
        <v>0.33333333333333331</v>
      </c>
      <c r="D68" s="12">
        <v>3</v>
      </c>
      <c r="E68" s="12">
        <v>9</v>
      </c>
    </row>
    <row r="69" spans="1:5" x14ac:dyDescent="0.25">
      <c r="A69" s="12" t="s">
        <v>22</v>
      </c>
      <c r="B69" s="14">
        <v>44865</v>
      </c>
      <c r="C69" s="6">
        <v>0.54545454545454541</v>
      </c>
      <c r="D69" s="12">
        <v>6</v>
      </c>
      <c r="E69" s="12">
        <v>11</v>
      </c>
    </row>
    <row r="70" spans="1:5" x14ac:dyDescent="0.25">
      <c r="A70" s="12" t="s">
        <v>4</v>
      </c>
      <c r="B70" s="14">
        <v>44865</v>
      </c>
      <c r="C70" s="6">
        <v>0.8</v>
      </c>
      <c r="D70" s="12">
        <v>8</v>
      </c>
      <c r="E70" s="12">
        <v>10</v>
      </c>
    </row>
    <row r="71" spans="1:5" x14ac:dyDescent="0.25">
      <c r="A71" s="12" t="s">
        <v>6</v>
      </c>
      <c r="B71" s="14">
        <v>44865</v>
      </c>
      <c r="C71" s="6">
        <v>0.36363636363636365</v>
      </c>
      <c r="D71" s="12">
        <v>4</v>
      </c>
      <c r="E71" s="12">
        <v>11</v>
      </c>
    </row>
    <row r="72" spans="1:5" x14ac:dyDescent="0.25">
      <c r="A72" s="12" t="s">
        <v>5</v>
      </c>
      <c r="B72" s="14">
        <v>44865</v>
      </c>
      <c r="C72" s="6">
        <v>0.44444444444444442</v>
      </c>
      <c r="D72" s="12">
        <v>4</v>
      </c>
      <c r="E72" s="12">
        <v>9</v>
      </c>
    </row>
    <row r="73" spans="1:5" x14ac:dyDescent="0.25">
      <c r="A73" s="12" t="s">
        <v>8</v>
      </c>
      <c r="B73" s="14">
        <v>44865</v>
      </c>
      <c r="C73" s="6">
        <v>0.4</v>
      </c>
      <c r="D73" s="12">
        <v>2</v>
      </c>
      <c r="E73" s="12">
        <v>5</v>
      </c>
    </row>
    <row r="74" spans="1:5" x14ac:dyDescent="0.25">
      <c r="A74" s="12" t="s">
        <v>12</v>
      </c>
      <c r="B74" s="14">
        <v>44865</v>
      </c>
      <c r="C74" s="6">
        <v>0.54545454545454541</v>
      </c>
      <c r="D74" s="12">
        <v>6</v>
      </c>
      <c r="E74" s="12">
        <v>11</v>
      </c>
    </row>
    <row r="75" spans="1:5" x14ac:dyDescent="0.25">
      <c r="A75" s="12" t="s">
        <v>23</v>
      </c>
      <c r="B75" s="14">
        <v>44865</v>
      </c>
      <c r="C75" s="6">
        <v>0.5</v>
      </c>
      <c r="D75" s="12">
        <v>1</v>
      </c>
      <c r="E75" s="12">
        <v>2</v>
      </c>
    </row>
    <row r="76" spans="1:5" x14ac:dyDescent="0.25">
      <c r="A76" s="12" t="s">
        <v>11</v>
      </c>
      <c r="B76" s="14">
        <v>44865</v>
      </c>
      <c r="C76" s="6">
        <v>0.5</v>
      </c>
      <c r="D76" s="12">
        <v>2</v>
      </c>
      <c r="E76" s="12">
        <v>4</v>
      </c>
    </row>
    <row r="77" spans="1:5" x14ac:dyDescent="0.25">
      <c r="A77" s="12" t="s">
        <v>9</v>
      </c>
      <c r="B77" s="14">
        <v>44865</v>
      </c>
      <c r="C77" s="6">
        <v>0.66666666666666663</v>
      </c>
      <c r="D77" s="12">
        <v>4</v>
      </c>
      <c r="E77" s="12">
        <v>6</v>
      </c>
    </row>
    <row r="78" spans="1:5" x14ac:dyDescent="0.25">
      <c r="A78" s="12" t="s">
        <v>24</v>
      </c>
      <c r="B78" s="14">
        <v>44865</v>
      </c>
      <c r="C78" s="6">
        <v>0.2857142857142857</v>
      </c>
      <c r="D78" s="12">
        <v>2</v>
      </c>
      <c r="E78" s="12">
        <v>7</v>
      </c>
    </row>
    <row r="79" spans="1:5" x14ac:dyDescent="0.25">
      <c r="A79" s="12" t="s">
        <v>26</v>
      </c>
      <c r="B79" s="14">
        <v>44865</v>
      </c>
      <c r="C79" s="6">
        <v>0.33333333333333331</v>
      </c>
      <c r="D79" s="12">
        <v>1</v>
      </c>
      <c r="E79" s="12">
        <v>3</v>
      </c>
    </row>
    <row r="80" spans="1:5" x14ac:dyDescent="0.25">
      <c r="A80" s="12" t="s">
        <v>7</v>
      </c>
      <c r="B80" s="14">
        <v>44865</v>
      </c>
      <c r="C80" s="6">
        <v>0.875</v>
      </c>
      <c r="D80" s="12">
        <v>7</v>
      </c>
      <c r="E80" s="12">
        <v>8</v>
      </c>
    </row>
    <row r="81" spans="1:5" x14ac:dyDescent="0.25">
      <c r="A81" s="12" t="s">
        <v>10</v>
      </c>
      <c r="B81" s="14">
        <v>44865</v>
      </c>
      <c r="D81" s="12">
        <v>0</v>
      </c>
      <c r="E81" s="12">
        <v>0</v>
      </c>
    </row>
    <row r="82" spans="1:5" x14ac:dyDescent="0.25">
      <c r="A82" s="12" t="s">
        <v>3</v>
      </c>
      <c r="B82" s="14">
        <v>44872</v>
      </c>
      <c r="C82" s="6">
        <v>0.38461538461538464</v>
      </c>
      <c r="D82" s="12">
        <v>5</v>
      </c>
      <c r="E82" s="12">
        <v>13</v>
      </c>
    </row>
    <row r="83" spans="1:5" x14ac:dyDescent="0.25">
      <c r="A83" s="12" t="s">
        <v>18</v>
      </c>
      <c r="B83" s="14">
        <v>44872</v>
      </c>
      <c r="D83" s="12">
        <v>0</v>
      </c>
      <c r="E83" s="12">
        <v>0</v>
      </c>
    </row>
    <row r="84" spans="1:5" x14ac:dyDescent="0.25">
      <c r="A84" s="12" t="s">
        <v>16</v>
      </c>
      <c r="B84" s="14">
        <v>44872</v>
      </c>
      <c r="C84" s="6">
        <v>0.30769230769230771</v>
      </c>
      <c r="D84" s="12">
        <v>4</v>
      </c>
      <c r="E84" s="12">
        <v>13</v>
      </c>
    </row>
    <row r="85" spans="1:5" x14ac:dyDescent="0.25">
      <c r="A85" s="12" t="s">
        <v>22</v>
      </c>
      <c r="B85" s="14">
        <v>44872</v>
      </c>
      <c r="C85" s="6">
        <v>0.66666666666666663</v>
      </c>
      <c r="D85" s="12">
        <v>10</v>
      </c>
      <c r="E85" s="12">
        <v>15</v>
      </c>
    </row>
    <row r="86" spans="1:5" x14ac:dyDescent="0.25">
      <c r="A86" s="12" t="s">
        <v>4</v>
      </c>
      <c r="B86" s="14">
        <v>44872</v>
      </c>
      <c r="C86" s="6">
        <v>0.7857142857142857</v>
      </c>
      <c r="D86" s="12">
        <v>11</v>
      </c>
      <c r="E86" s="12">
        <v>14</v>
      </c>
    </row>
    <row r="87" spans="1:5" x14ac:dyDescent="0.25">
      <c r="A87" s="12" t="s">
        <v>6</v>
      </c>
      <c r="B87" s="14">
        <v>44872</v>
      </c>
      <c r="C87" s="6">
        <v>0.38461538461538464</v>
      </c>
      <c r="D87" s="12">
        <v>5</v>
      </c>
      <c r="E87" s="12">
        <v>13</v>
      </c>
    </row>
    <row r="88" spans="1:5" x14ac:dyDescent="0.25">
      <c r="A88" s="12" t="s">
        <v>5</v>
      </c>
      <c r="B88" s="14">
        <v>44872</v>
      </c>
      <c r="C88" s="6">
        <v>0.42857142857142855</v>
      </c>
      <c r="D88" s="12">
        <v>6</v>
      </c>
      <c r="E88" s="12">
        <v>14</v>
      </c>
    </row>
    <row r="89" spans="1:5" x14ac:dyDescent="0.25">
      <c r="A89" s="12" t="s">
        <v>8</v>
      </c>
      <c r="B89" s="14">
        <v>44872</v>
      </c>
      <c r="C89" s="6">
        <v>0.5</v>
      </c>
      <c r="D89" s="12">
        <v>5</v>
      </c>
      <c r="E89" s="12">
        <v>10</v>
      </c>
    </row>
    <row r="90" spans="1:5" x14ac:dyDescent="0.25">
      <c r="A90" s="12" t="s">
        <v>12</v>
      </c>
      <c r="B90" s="14">
        <v>44872</v>
      </c>
      <c r="C90" s="6">
        <v>0.5</v>
      </c>
      <c r="D90" s="12">
        <v>8</v>
      </c>
      <c r="E90" s="12">
        <v>16</v>
      </c>
    </row>
    <row r="91" spans="1:5" x14ac:dyDescent="0.25">
      <c r="A91" s="12" t="s">
        <v>23</v>
      </c>
      <c r="B91" s="14">
        <v>44872</v>
      </c>
      <c r="C91" s="6">
        <v>0.66666666666666663</v>
      </c>
      <c r="D91" s="12">
        <v>2</v>
      </c>
      <c r="E91" s="12">
        <v>3</v>
      </c>
    </row>
    <row r="92" spans="1:5" x14ac:dyDescent="0.25">
      <c r="A92" s="12" t="s">
        <v>11</v>
      </c>
      <c r="B92" s="14">
        <v>44872</v>
      </c>
      <c r="C92" s="6">
        <v>0.5</v>
      </c>
      <c r="D92" s="12">
        <v>3</v>
      </c>
      <c r="E92" s="12">
        <v>6</v>
      </c>
    </row>
    <row r="93" spans="1:5" x14ac:dyDescent="0.25">
      <c r="A93" s="12" t="s">
        <v>9</v>
      </c>
      <c r="B93" s="14">
        <v>44872</v>
      </c>
      <c r="C93" s="6">
        <v>0.66666666666666663</v>
      </c>
      <c r="D93" s="12">
        <v>4</v>
      </c>
      <c r="E93" s="12">
        <v>6</v>
      </c>
    </row>
    <row r="94" spans="1:5" x14ac:dyDescent="0.25">
      <c r="A94" s="12" t="s">
        <v>24</v>
      </c>
      <c r="B94" s="14">
        <v>44872</v>
      </c>
      <c r="C94" s="6">
        <v>0.41666666666666669</v>
      </c>
      <c r="D94" s="12">
        <v>5</v>
      </c>
      <c r="E94" s="12">
        <v>12</v>
      </c>
    </row>
    <row r="95" spans="1:5" x14ac:dyDescent="0.25">
      <c r="A95" s="12" t="s">
        <v>26</v>
      </c>
      <c r="B95" s="14">
        <v>44872</v>
      </c>
      <c r="C95" s="6">
        <v>0.33333333333333331</v>
      </c>
      <c r="D95" s="12">
        <v>2</v>
      </c>
      <c r="E95" s="12">
        <v>6</v>
      </c>
    </row>
    <row r="96" spans="1:5" x14ac:dyDescent="0.25">
      <c r="A96" s="12" t="s">
        <v>7</v>
      </c>
      <c r="B96" s="14">
        <v>44872</v>
      </c>
      <c r="C96" s="6">
        <v>0.875</v>
      </c>
      <c r="D96" s="12">
        <v>7</v>
      </c>
      <c r="E96" s="12">
        <v>8</v>
      </c>
    </row>
    <row r="97" spans="1:5" x14ac:dyDescent="0.25">
      <c r="A97" s="12" t="s">
        <v>10</v>
      </c>
      <c r="B97" s="14">
        <v>44872</v>
      </c>
      <c r="D97" s="12">
        <v>0</v>
      </c>
      <c r="E97" s="12">
        <v>0</v>
      </c>
    </row>
    <row r="98" spans="1:5" x14ac:dyDescent="0.25">
      <c r="A98" s="12" t="s">
        <v>3</v>
      </c>
      <c r="B98" s="14">
        <v>44879</v>
      </c>
      <c r="C98" s="6">
        <v>0.52631578947368418</v>
      </c>
      <c r="D98" s="12">
        <v>10</v>
      </c>
      <c r="E98" s="12">
        <v>19</v>
      </c>
    </row>
    <row r="99" spans="1:5" x14ac:dyDescent="0.25">
      <c r="A99" s="12" t="s">
        <v>18</v>
      </c>
      <c r="B99" s="14">
        <v>44879</v>
      </c>
      <c r="C99" s="6">
        <v>0</v>
      </c>
      <c r="D99" s="12">
        <v>0</v>
      </c>
      <c r="E99" s="12">
        <v>1</v>
      </c>
    </row>
    <row r="100" spans="1:5" x14ac:dyDescent="0.25">
      <c r="A100" s="12" t="s">
        <v>16</v>
      </c>
      <c r="B100" s="14">
        <v>44879</v>
      </c>
      <c r="C100" s="6">
        <v>0.2857142857142857</v>
      </c>
      <c r="D100" s="12">
        <v>6</v>
      </c>
      <c r="E100" s="12">
        <v>21</v>
      </c>
    </row>
    <row r="101" spans="1:5" x14ac:dyDescent="0.25">
      <c r="A101" s="12" t="s">
        <v>22</v>
      </c>
      <c r="B101" s="14">
        <v>44879</v>
      </c>
      <c r="C101" s="6">
        <v>0.58333333333333337</v>
      </c>
      <c r="D101" s="12">
        <v>14</v>
      </c>
      <c r="E101" s="12">
        <v>24</v>
      </c>
    </row>
    <row r="102" spans="1:5" x14ac:dyDescent="0.25">
      <c r="A102" s="12" t="s">
        <v>4</v>
      </c>
      <c r="B102" s="14">
        <v>44879</v>
      </c>
      <c r="C102" s="6">
        <v>0.73913043478260865</v>
      </c>
      <c r="D102" s="12">
        <v>17</v>
      </c>
      <c r="E102" s="12">
        <v>23</v>
      </c>
    </row>
    <row r="103" spans="1:5" x14ac:dyDescent="0.25">
      <c r="A103" s="12" t="s">
        <v>6</v>
      </c>
      <c r="B103" s="14">
        <v>44879</v>
      </c>
      <c r="C103" s="6">
        <v>0.45454545454545453</v>
      </c>
      <c r="D103" s="12">
        <v>10</v>
      </c>
      <c r="E103" s="12">
        <v>22</v>
      </c>
    </row>
    <row r="104" spans="1:5" x14ac:dyDescent="0.25">
      <c r="A104" s="12" t="s">
        <v>5</v>
      </c>
      <c r="B104" s="14">
        <v>44879</v>
      </c>
      <c r="C104" s="6">
        <v>0.52173913043478259</v>
      </c>
      <c r="D104" s="12">
        <v>12</v>
      </c>
      <c r="E104" s="12">
        <v>23</v>
      </c>
    </row>
    <row r="105" spans="1:5" x14ac:dyDescent="0.25">
      <c r="A105" s="12" t="s">
        <v>8</v>
      </c>
      <c r="B105" s="14">
        <v>44879</v>
      </c>
      <c r="C105" s="6">
        <v>0.4375</v>
      </c>
      <c r="D105" s="12">
        <v>7</v>
      </c>
      <c r="E105" s="12">
        <v>16</v>
      </c>
    </row>
    <row r="106" spans="1:5" x14ac:dyDescent="0.25">
      <c r="A106" s="12" t="s">
        <v>12</v>
      </c>
      <c r="B106" s="14">
        <v>44879</v>
      </c>
      <c r="C106" s="6">
        <v>0.56000000000000005</v>
      </c>
      <c r="D106" s="12">
        <v>14</v>
      </c>
      <c r="E106" s="12">
        <v>25</v>
      </c>
    </row>
    <row r="107" spans="1:5" x14ac:dyDescent="0.25">
      <c r="A107" s="12" t="s">
        <v>23</v>
      </c>
      <c r="B107" s="14">
        <v>44879</v>
      </c>
      <c r="C107" s="6">
        <v>0.44444444444444442</v>
      </c>
      <c r="D107" s="12">
        <v>4</v>
      </c>
      <c r="E107" s="12">
        <v>9</v>
      </c>
    </row>
    <row r="108" spans="1:5" x14ac:dyDescent="0.25">
      <c r="A108" s="12" t="s">
        <v>11</v>
      </c>
      <c r="B108" s="14">
        <v>44879</v>
      </c>
      <c r="C108" s="6">
        <v>0.4</v>
      </c>
      <c r="D108" s="12">
        <v>4</v>
      </c>
      <c r="E108" s="12">
        <v>10</v>
      </c>
    </row>
    <row r="109" spans="1:5" x14ac:dyDescent="0.25">
      <c r="A109" s="12" t="s">
        <v>9</v>
      </c>
      <c r="B109" s="14">
        <v>44879</v>
      </c>
      <c r="C109" s="6">
        <v>0.54545454545454541</v>
      </c>
      <c r="D109" s="12">
        <v>6</v>
      </c>
      <c r="E109" s="12">
        <v>11</v>
      </c>
    </row>
    <row r="110" spans="1:5" x14ac:dyDescent="0.25">
      <c r="A110" s="12" t="s">
        <v>24</v>
      </c>
      <c r="B110" s="14">
        <v>44879</v>
      </c>
      <c r="C110" s="6">
        <v>0.33333333333333331</v>
      </c>
      <c r="D110" s="12">
        <v>5</v>
      </c>
      <c r="E110" s="12">
        <v>15</v>
      </c>
    </row>
    <row r="111" spans="1:5" x14ac:dyDescent="0.25">
      <c r="A111" s="12" t="s">
        <v>26</v>
      </c>
      <c r="B111" s="14">
        <v>44879</v>
      </c>
      <c r="C111" s="6">
        <v>0.33333333333333331</v>
      </c>
      <c r="D111" s="12">
        <v>2</v>
      </c>
      <c r="E111" s="12">
        <v>6</v>
      </c>
    </row>
    <row r="112" spans="1:5" x14ac:dyDescent="0.25">
      <c r="A112" s="12" t="s">
        <v>7</v>
      </c>
      <c r="B112" s="14">
        <v>44879</v>
      </c>
      <c r="C112" s="6">
        <v>0.7857142857142857</v>
      </c>
      <c r="D112" s="12">
        <v>11</v>
      </c>
      <c r="E112" s="12">
        <v>14</v>
      </c>
    </row>
    <row r="113" spans="1:5" x14ac:dyDescent="0.25">
      <c r="A113" s="12" t="s">
        <v>10</v>
      </c>
      <c r="B113" s="14">
        <v>44879</v>
      </c>
      <c r="D113" s="12">
        <v>0</v>
      </c>
      <c r="E113" s="12">
        <v>0</v>
      </c>
    </row>
    <row r="114" spans="1:5" x14ac:dyDescent="0.25">
      <c r="A114" s="12" t="s">
        <v>3</v>
      </c>
      <c r="B114" s="14">
        <v>44886</v>
      </c>
      <c r="C114" s="6">
        <v>0.56521739130434778</v>
      </c>
      <c r="D114" s="12">
        <v>13</v>
      </c>
      <c r="E114" s="12">
        <v>23</v>
      </c>
    </row>
    <row r="115" spans="1:5" x14ac:dyDescent="0.25">
      <c r="A115" s="12" t="s">
        <v>18</v>
      </c>
      <c r="B115" s="14">
        <v>44886</v>
      </c>
      <c r="C115" s="6">
        <v>0</v>
      </c>
      <c r="D115" s="12">
        <v>0</v>
      </c>
      <c r="E115" s="12">
        <v>1</v>
      </c>
    </row>
    <row r="116" spans="1:5" x14ac:dyDescent="0.25">
      <c r="A116" s="12" t="s">
        <v>16</v>
      </c>
      <c r="B116" s="14">
        <v>44886</v>
      </c>
      <c r="C116" s="6">
        <v>0.33333333333333331</v>
      </c>
      <c r="D116" s="12">
        <v>8</v>
      </c>
      <c r="E116" s="12">
        <v>24</v>
      </c>
    </row>
    <row r="117" spans="1:5" x14ac:dyDescent="0.25">
      <c r="A117" s="12" t="s">
        <v>22</v>
      </c>
      <c r="B117" s="14">
        <v>44886</v>
      </c>
      <c r="C117" s="6">
        <v>0.58333333333333337</v>
      </c>
      <c r="D117" s="12">
        <v>14</v>
      </c>
      <c r="E117" s="12">
        <v>24</v>
      </c>
    </row>
    <row r="118" spans="1:5" x14ac:dyDescent="0.25">
      <c r="A118" s="12" t="s">
        <v>4</v>
      </c>
      <c r="B118" s="14">
        <v>44886</v>
      </c>
      <c r="C118" s="6">
        <v>0.62962962962962965</v>
      </c>
      <c r="D118" s="12">
        <v>17</v>
      </c>
      <c r="E118" s="12">
        <v>27</v>
      </c>
    </row>
    <row r="119" spans="1:5" x14ac:dyDescent="0.25">
      <c r="A119" s="12" t="s">
        <v>6</v>
      </c>
      <c r="B119" s="14">
        <v>44886</v>
      </c>
      <c r="C119" s="6">
        <v>0.44</v>
      </c>
      <c r="D119" s="12">
        <v>11</v>
      </c>
      <c r="E119" s="12">
        <v>25</v>
      </c>
    </row>
    <row r="120" spans="1:5" x14ac:dyDescent="0.25">
      <c r="A120" s="12" t="s">
        <v>5</v>
      </c>
      <c r="B120" s="14">
        <v>44886</v>
      </c>
      <c r="C120" s="6">
        <v>0.48148148148148145</v>
      </c>
      <c r="D120" s="12">
        <v>13</v>
      </c>
      <c r="E120" s="12">
        <v>27</v>
      </c>
    </row>
    <row r="121" spans="1:5" x14ac:dyDescent="0.25">
      <c r="A121" s="12" t="s">
        <v>8</v>
      </c>
      <c r="B121" s="14">
        <v>44886</v>
      </c>
      <c r="C121" s="6">
        <v>0.44444444444444442</v>
      </c>
      <c r="D121" s="12">
        <v>8</v>
      </c>
      <c r="E121" s="12">
        <v>18</v>
      </c>
    </row>
    <row r="122" spans="1:5" x14ac:dyDescent="0.25">
      <c r="A122" s="12" t="s">
        <v>12</v>
      </c>
      <c r="B122" s="14">
        <v>44886</v>
      </c>
      <c r="C122" s="6">
        <v>0.55172413793103448</v>
      </c>
      <c r="D122" s="12">
        <v>16</v>
      </c>
      <c r="E122" s="12">
        <v>29</v>
      </c>
    </row>
    <row r="123" spans="1:5" x14ac:dyDescent="0.25">
      <c r="A123" s="12" t="s">
        <v>23</v>
      </c>
      <c r="B123" s="14">
        <v>44886</v>
      </c>
      <c r="C123" s="6">
        <v>0.46153846153846156</v>
      </c>
      <c r="D123" s="12">
        <v>6</v>
      </c>
      <c r="E123" s="12">
        <v>13</v>
      </c>
    </row>
    <row r="124" spans="1:5" x14ac:dyDescent="0.25">
      <c r="A124" s="12" t="s">
        <v>11</v>
      </c>
      <c r="B124" s="14">
        <v>44886</v>
      </c>
      <c r="C124" s="6">
        <v>0.5</v>
      </c>
      <c r="D124" s="12">
        <v>6</v>
      </c>
      <c r="E124" s="12">
        <v>12</v>
      </c>
    </row>
    <row r="125" spans="1:5" x14ac:dyDescent="0.25">
      <c r="A125" s="12" t="s">
        <v>9</v>
      </c>
      <c r="B125" s="14">
        <v>44886</v>
      </c>
      <c r="C125" s="6">
        <v>0.42857142857142855</v>
      </c>
      <c r="D125" s="12">
        <v>6</v>
      </c>
      <c r="E125" s="12">
        <v>14</v>
      </c>
    </row>
    <row r="126" spans="1:5" x14ac:dyDescent="0.25">
      <c r="A126" s="12" t="s">
        <v>24</v>
      </c>
      <c r="B126" s="14">
        <v>44886</v>
      </c>
      <c r="C126" s="6">
        <v>0.35294117647058826</v>
      </c>
      <c r="D126" s="12">
        <v>6</v>
      </c>
      <c r="E126" s="12">
        <v>17</v>
      </c>
    </row>
    <row r="127" spans="1:5" x14ac:dyDescent="0.25">
      <c r="A127" s="12" t="s">
        <v>26</v>
      </c>
      <c r="B127" s="14">
        <v>44886</v>
      </c>
      <c r="C127" s="6">
        <v>0.42857142857142855</v>
      </c>
      <c r="D127" s="12">
        <v>3</v>
      </c>
      <c r="E127" s="12">
        <v>7</v>
      </c>
    </row>
    <row r="128" spans="1:5" x14ac:dyDescent="0.25">
      <c r="A128" s="12" t="s">
        <v>7</v>
      </c>
      <c r="B128" s="14">
        <v>44886</v>
      </c>
      <c r="C128" s="6">
        <v>0.82352941176470584</v>
      </c>
      <c r="D128" s="12">
        <v>14</v>
      </c>
      <c r="E128" s="12">
        <v>17</v>
      </c>
    </row>
    <row r="129" spans="1:5" x14ac:dyDescent="0.25">
      <c r="A129" s="12" t="s">
        <v>10</v>
      </c>
      <c r="B129" s="14">
        <v>44886</v>
      </c>
      <c r="D129" s="12">
        <v>0</v>
      </c>
      <c r="E129" s="12">
        <v>0</v>
      </c>
    </row>
    <row r="130" spans="1:5" x14ac:dyDescent="0.25">
      <c r="A130" s="12" t="s">
        <v>3</v>
      </c>
      <c r="B130" s="14">
        <v>44893</v>
      </c>
      <c r="C130" s="6">
        <v>0.55172413793103448</v>
      </c>
      <c r="D130" s="12">
        <v>16</v>
      </c>
      <c r="E130" s="12">
        <v>29</v>
      </c>
    </row>
    <row r="131" spans="1:5" x14ac:dyDescent="0.25">
      <c r="A131" s="12" t="s">
        <v>18</v>
      </c>
      <c r="B131" s="14">
        <v>44893</v>
      </c>
      <c r="C131" s="6">
        <v>0.25</v>
      </c>
      <c r="D131" s="12">
        <v>1</v>
      </c>
      <c r="E131" s="12">
        <v>4</v>
      </c>
    </row>
    <row r="132" spans="1:5" x14ac:dyDescent="0.25">
      <c r="A132" s="12" t="s">
        <v>16</v>
      </c>
      <c r="B132" s="14">
        <v>44893</v>
      </c>
      <c r="C132" s="6">
        <v>0.35714285714285715</v>
      </c>
      <c r="D132" s="12">
        <v>10</v>
      </c>
      <c r="E132" s="12">
        <v>28</v>
      </c>
    </row>
    <row r="133" spans="1:5" x14ac:dyDescent="0.25">
      <c r="A133" s="12" t="s">
        <v>22</v>
      </c>
      <c r="B133" s="14">
        <v>44893</v>
      </c>
      <c r="C133" s="6">
        <v>0.53333333333333333</v>
      </c>
      <c r="D133" s="12">
        <v>16</v>
      </c>
      <c r="E133" s="12">
        <v>30</v>
      </c>
    </row>
    <row r="134" spans="1:5" x14ac:dyDescent="0.25">
      <c r="A134" s="12" t="s">
        <v>4</v>
      </c>
      <c r="B134" s="14">
        <v>44893</v>
      </c>
      <c r="C134" s="6">
        <v>0.63636363636363635</v>
      </c>
      <c r="D134" s="12">
        <v>21</v>
      </c>
      <c r="E134" s="12">
        <v>33</v>
      </c>
    </row>
    <row r="135" spans="1:5" x14ac:dyDescent="0.25">
      <c r="A135" s="12" t="s">
        <v>6</v>
      </c>
      <c r="B135" s="14">
        <v>44893</v>
      </c>
      <c r="C135" s="6">
        <v>0.5161290322580645</v>
      </c>
      <c r="D135" s="12">
        <v>16</v>
      </c>
      <c r="E135" s="12">
        <v>31</v>
      </c>
    </row>
    <row r="136" spans="1:5" x14ac:dyDescent="0.25">
      <c r="A136" s="12" t="s">
        <v>5</v>
      </c>
      <c r="B136" s="14">
        <v>44893</v>
      </c>
      <c r="C136" s="6">
        <v>0.51515151515151514</v>
      </c>
      <c r="D136" s="12">
        <v>17</v>
      </c>
      <c r="E136" s="12">
        <v>33</v>
      </c>
    </row>
    <row r="137" spans="1:5" x14ac:dyDescent="0.25">
      <c r="A137" s="12" t="s">
        <v>8</v>
      </c>
      <c r="B137" s="14">
        <v>44893</v>
      </c>
      <c r="C137" s="6">
        <v>0.4</v>
      </c>
      <c r="D137" s="12">
        <v>8</v>
      </c>
      <c r="E137" s="12">
        <v>20</v>
      </c>
    </row>
    <row r="138" spans="1:5" x14ac:dyDescent="0.25">
      <c r="A138" s="12" t="s">
        <v>12</v>
      </c>
      <c r="B138" s="14">
        <v>44893</v>
      </c>
      <c r="C138" s="6">
        <v>0.51428571428571423</v>
      </c>
      <c r="D138" s="12">
        <v>18</v>
      </c>
      <c r="E138" s="12">
        <v>35</v>
      </c>
    </row>
    <row r="139" spans="1:5" x14ac:dyDescent="0.25">
      <c r="A139" s="12" t="s">
        <v>23</v>
      </c>
      <c r="B139" s="14">
        <v>44893</v>
      </c>
      <c r="C139" s="6">
        <v>0.42105263157894735</v>
      </c>
      <c r="D139" s="12">
        <v>8</v>
      </c>
      <c r="E139" s="12">
        <v>19</v>
      </c>
    </row>
    <row r="140" spans="1:5" x14ac:dyDescent="0.25">
      <c r="A140" s="12" t="s">
        <v>11</v>
      </c>
      <c r="B140" s="14">
        <v>44893</v>
      </c>
      <c r="C140" s="6">
        <v>0.53333333333333333</v>
      </c>
      <c r="D140" s="12">
        <v>8</v>
      </c>
      <c r="E140" s="12">
        <v>15</v>
      </c>
    </row>
    <row r="141" spans="1:5" x14ac:dyDescent="0.25">
      <c r="A141" s="12" t="s">
        <v>9</v>
      </c>
      <c r="B141" s="14">
        <v>44893</v>
      </c>
      <c r="C141" s="6">
        <v>0.46666666666666667</v>
      </c>
      <c r="D141" s="12">
        <v>7</v>
      </c>
      <c r="E141" s="12">
        <v>15</v>
      </c>
    </row>
    <row r="142" spans="1:5" x14ac:dyDescent="0.25">
      <c r="A142" s="12" t="s">
        <v>24</v>
      </c>
      <c r="B142" s="14">
        <v>44893</v>
      </c>
      <c r="C142" s="6">
        <v>0.36842105263157893</v>
      </c>
      <c r="D142" s="12">
        <v>7</v>
      </c>
      <c r="E142" s="12">
        <v>19</v>
      </c>
    </row>
    <row r="143" spans="1:5" x14ac:dyDescent="0.25">
      <c r="A143" s="12" t="s">
        <v>26</v>
      </c>
      <c r="B143" s="14">
        <v>44893</v>
      </c>
      <c r="C143" s="6">
        <v>0.42857142857142855</v>
      </c>
      <c r="D143" s="12">
        <v>3</v>
      </c>
      <c r="E143" s="12">
        <v>7</v>
      </c>
    </row>
    <row r="144" spans="1:5" x14ac:dyDescent="0.25">
      <c r="A144" s="12" t="s">
        <v>7</v>
      </c>
      <c r="B144" s="14">
        <v>44893</v>
      </c>
      <c r="C144" s="6">
        <v>0.83333333333333337</v>
      </c>
      <c r="D144" s="12">
        <v>15</v>
      </c>
      <c r="E144" s="12">
        <v>18</v>
      </c>
    </row>
    <row r="145" spans="1:5" x14ac:dyDescent="0.25">
      <c r="A145" s="12" t="s">
        <v>10</v>
      </c>
      <c r="B145" s="14">
        <v>44893</v>
      </c>
      <c r="C145" s="6">
        <v>0</v>
      </c>
      <c r="D145" s="12">
        <v>0</v>
      </c>
      <c r="E145" s="12">
        <v>2</v>
      </c>
    </row>
    <row r="146" spans="1:5" x14ac:dyDescent="0.25">
      <c r="A146" s="12" t="s">
        <v>3</v>
      </c>
      <c r="B146" s="14">
        <v>44900</v>
      </c>
      <c r="C146" s="6">
        <v>0.59459459459459463</v>
      </c>
      <c r="D146" s="12">
        <v>22</v>
      </c>
      <c r="E146" s="12">
        <v>37</v>
      </c>
    </row>
    <row r="147" spans="1:5" x14ac:dyDescent="0.25">
      <c r="A147" s="12" t="s">
        <v>18</v>
      </c>
      <c r="B147" s="14">
        <v>44900</v>
      </c>
      <c r="C147" s="6">
        <v>0.2857142857142857</v>
      </c>
      <c r="D147" s="12">
        <v>2</v>
      </c>
      <c r="E147" s="12">
        <v>7</v>
      </c>
    </row>
    <row r="148" spans="1:5" x14ac:dyDescent="0.25">
      <c r="A148" s="12" t="s">
        <v>16</v>
      </c>
      <c r="B148" s="14">
        <v>44900</v>
      </c>
      <c r="C148" s="6">
        <v>0.41935483870967744</v>
      </c>
      <c r="D148" s="12">
        <v>13</v>
      </c>
      <c r="E148" s="12">
        <v>31</v>
      </c>
    </row>
    <row r="149" spans="1:5" x14ac:dyDescent="0.25">
      <c r="A149" s="12" t="s">
        <v>22</v>
      </c>
      <c r="B149" s="14">
        <v>44900</v>
      </c>
      <c r="C149" s="6">
        <v>0.5</v>
      </c>
      <c r="D149" s="12">
        <v>16</v>
      </c>
      <c r="E149" s="12">
        <v>32</v>
      </c>
    </row>
    <row r="150" spans="1:5" x14ac:dyDescent="0.25">
      <c r="A150" s="12" t="s">
        <v>4</v>
      </c>
      <c r="B150" s="14">
        <v>44900</v>
      </c>
      <c r="C150" s="6">
        <v>0.58536585365853655</v>
      </c>
      <c r="D150" s="12">
        <v>24</v>
      </c>
      <c r="E150" s="12">
        <v>41</v>
      </c>
    </row>
    <row r="151" spans="1:5" x14ac:dyDescent="0.25">
      <c r="A151" s="12" t="s">
        <v>6</v>
      </c>
      <c r="B151" s="14">
        <v>44900</v>
      </c>
      <c r="C151" s="6">
        <v>0.55555555555555558</v>
      </c>
      <c r="D151" s="12">
        <v>20</v>
      </c>
      <c r="E151" s="12">
        <v>36</v>
      </c>
    </row>
    <row r="152" spans="1:5" x14ac:dyDescent="0.25">
      <c r="A152" s="12" t="s">
        <v>5</v>
      </c>
      <c r="B152" s="14">
        <v>44900</v>
      </c>
      <c r="C152" s="6">
        <v>0.51219512195121952</v>
      </c>
      <c r="D152" s="12">
        <v>21</v>
      </c>
      <c r="E152" s="12">
        <v>41</v>
      </c>
    </row>
    <row r="153" spans="1:5" x14ac:dyDescent="0.25">
      <c r="A153" s="12" t="s">
        <v>8</v>
      </c>
      <c r="B153" s="14">
        <v>44900</v>
      </c>
      <c r="C153" s="6">
        <v>0.40740740740740738</v>
      </c>
      <c r="D153" s="12">
        <v>11</v>
      </c>
      <c r="E153" s="12">
        <v>27</v>
      </c>
    </row>
    <row r="154" spans="1:5" x14ac:dyDescent="0.25">
      <c r="A154" s="12" t="s">
        <v>12</v>
      </c>
      <c r="B154" s="14">
        <v>44900</v>
      </c>
      <c r="C154" s="6">
        <v>0.51219512195121952</v>
      </c>
      <c r="D154" s="12">
        <v>21</v>
      </c>
      <c r="E154" s="12">
        <v>41</v>
      </c>
    </row>
    <row r="155" spans="1:5" x14ac:dyDescent="0.25">
      <c r="A155" s="12" t="s">
        <v>23</v>
      </c>
      <c r="B155" s="14">
        <v>44900</v>
      </c>
      <c r="C155" s="6">
        <v>0.39130434782608697</v>
      </c>
      <c r="D155" s="12">
        <v>9</v>
      </c>
      <c r="E155" s="12">
        <v>23</v>
      </c>
    </row>
    <row r="156" spans="1:5" x14ac:dyDescent="0.25">
      <c r="A156" s="12" t="s">
        <v>11</v>
      </c>
      <c r="B156" s="14">
        <v>44900</v>
      </c>
      <c r="C156" s="6">
        <v>0.5</v>
      </c>
      <c r="D156" s="12">
        <v>10</v>
      </c>
      <c r="E156" s="12">
        <v>20</v>
      </c>
    </row>
    <row r="157" spans="1:5" x14ac:dyDescent="0.25">
      <c r="A157" s="12" t="s">
        <v>9</v>
      </c>
      <c r="B157" s="14">
        <v>44900</v>
      </c>
      <c r="C157" s="6">
        <v>0.36363636363636365</v>
      </c>
      <c r="D157" s="12">
        <v>8</v>
      </c>
      <c r="E157" s="12">
        <v>22</v>
      </c>
    </row>
    <row r="158" spans="1:5" x14ac:dyDescent="0.25">
      <c r="A158" s="12" t="s">
        <v>24</v>
      </c>
      <c r="B158" s="14">
        <v>44900</v>
      </c>
      <c r="C158" s="6">
        <v>0.36842105263157893</v>
      </c>
      <c r="D158" s="12">
        <v>7</v>
      </c>
      <c r="E158" s="12">
        <v>19</v>
      </c>
    </row>
    <row r="159" spans="1:5" x14ac:dyDescent="0.25">
      <c r="A159" s="12" t="s">
        <v>26</v>
      </c>
      <c r="B159" s="14">
        <v>44900</v>
      </c>
      <c r="C159" s="6">
        <v>0.42857142857142855</v>
      </c>
      <c r="D159" s="12">
        <v>3</v>
      </c>
      <c r="E159" s="12">
        <v>7</v>
      </c>
    </row>
    <row r="160" spans="1:5" x14ac:dyDescent="0.25">
      <c r="A160" s="12" t="s">
        <v>7</v>
      </c>
      <c r="B160" s="14">
        <v>44900</v>
      </c>
      <c r="C160" s="6">
        <v>0.84615384615384615</v>
      </c>
      <c r="D160" s="12">
        <v>22</v>
      </c>
      <c r="E160" s="12">
        <v>26</v>
      </c>
    </row>
    <row r="161" spans="1:5" x14ac:dyDescent="0.25">
      <c r="A161" s="12" t="s">
        <v>10</v>
      </c>
      <c r="B161" s="14">
        <v>44900</v>
      </c>
      <c r="C161" s="6">
        <v>0</v>
      </c>
      <c r="D161" s="12">
        <v>0</v>
      </c>
      <c r="E161" s="12">
        <v>4</v>
      </c>
    </row>
    <row r="162" spans="1:5" x14ac:dyDescent="0.25">
      <c r="A162" s="12" t="s">
        <v>3</v>
      </c>
      <c r="B162" s="14">
        <v>44907</v>
      </c>
      <c r="C162" s="6">
        <v>0.56097560975609762</v>
      </c>
      <c r="D162" s="12">
        <v>23</v>
      </c>
      <c r="E162" s="12">
        <v>41</v>
      </c>
    </row>
    <row r="163" spans="1:5" x14ac:dyDescent="0.25">
      <c r="A163" s="12" t="s">
        <v>18</v>
      </c>
      <c r="B163" s="14">
        <v>44907</v>
      </c>
      <c r="C163" s="6">
        <v>0.33333333333333331</v>
      </c>
      <c r="D163" s="12">
        <v>3</v>
      </c>
      <c r="E163" s="12">
        <v>9</v>
      </c>
    </row>
    <row r="164" spans="1:5" x14ac:dyDescent="0.25">
      <c r="A164" s="12" t="s">
        <v>16</v>
      </c>
      <c r="B164" s="14">
        <v>44907</v>
      </c>
      <c r="C164" s="6">
        <v>0.4</v>
      </c>
      <c r="D164" s="12">
        <v>14</v>
      </c>
      <c r="E164" s="12">
        <v>35</v>
      </c>
    </row>
    <row r="165" spans="1:5" x14ac:dyDescent="0.25">
      <c r="A165" s="12" t="s">
        <v>22</v>
      </c>
      <c r="B165" s="14">
        <v>44907</v>
      </c>
      <c r="C165" s="6">
        <v>0.48571428571428571</v>
      </c>
      <c r="D165" s="12">
        <v>17</v>
      </c>
      <c r="E165" s="12">
        <v>35</v>
      </c>
    </row>
    <row r="166" spans="1:5" x14ac:dyDescent="0.25">
      <c r="A166" s="12" t="s">
        <v>4</v>
      </c>
      <c r="B166" s="14">
        <v>44907</v>
      </c>
      <c r="C166" s="6">
        <v>0.6</v>
      </c>
      <c r="D166" s="12">
        <v>27</v>
      </c>
      <c r="E166" s="12">
        <v>45</v>
      </c>
    </row>
    <row r="167" spans="1:5" x14ac:dyDescent="0.25">
      <c r="A167" s="12" t="s">
        <v>6</v>
      </c>
      <c r="B167" s="14">
        <v>44907</v>
      </c>
      <c r="C167" s="6">
        <v>0.57894736842105265</v>
      </c>
      <c r="D167" s="12">
        <v>22</v>
      </c>
      <c r="E167" s="12">
        <v>38</v>
      </c>
    </row>
    <row r="168" spans="1:5" x14ac:dyDescent="0.25">
      <c r="A168" s="12" t="s">
        <v>5</v>
      </c>
      <c r="B168" s="14">
        <v>44907</v>
      </c>
      <c r="C168" s="6">
        <v>0.51111111111111107</v>
      </c>
      <c r="D168" s="12">
        <v>23</v>
      </c>
      <c r="E168" s="12">
        <v>45</v>
      </c>
    </row>
    <row r="169" spans="1:5" x14ac:dyDescent="0.25">
      <c r="A169" s="12" t="s">
        <v>8</v>
      </c>
      <c r="B169" s="14">
        <v>44907</v>
      </c>
      <c r="C169" s="6">
        <v>0.46666666666666667</v>
      </c>
      <c r="D169" s="12">
        <v>14</v>
      </c>
      <c r="E169" s="12">
        <v>30</v>
      </c>
    </row>
    <row r="170" spans="1:5" x14ac:dyDescent="0.25">
      <c r="A170" s="12" t="s">
        <v>12</v>
      </c>
      <c r="B170" s="14">
        <v>44907</v>
      </c>
      <c r="C170" s="6">
        <v>0.51111111111111107</v>
      </c>
      <c r="D170" s="12">
        <v>23</v>
      </c>
      <c r="E170" s="12">
        <v>45</v>
      </c>
    </row>
    <row r="171" spans="1:5" x14ac:dyDescent="0.25">
      <c r="A171" s="12" t="s">
        <v>23</v>
      </c>
      <c r="B171" s="14">
        <v>44907</v>
      </c>
      <c r="C171" s="6">
        <v>0.4</v>
      </c>
      <c r="D171" s="12">
        <v>10</v>
      </c>
      <c r="E171" s="12">
        <v>25</v>
      </c>
    </row>
    <row r="172" spans="1:5" x14ac:dyDescent="0.25">
      <c r="A172" s="12" t="s">
        <v>11</v>
      </c>
      <c r="B172" s="14">
        <v>44907</v>
      </c>
      <c r="C172" s="6">
        <v>0.54545454545454541</v>
      </c>
      <c r="D172" s="12">
        <v>12</v>
      </c>
      <c r="E172" s="12">
        <v>22</v>
      </c>
    </row>
    <row r="173" spans="1:5" x14ac:dyDescent="0.25">
      <c r="A173" s="12" t="s">
        <v>9</v>
      </c>
      <c r="B173" s="14">
        <v>44907</v>
      </c>
      <c r="C173" s="6">
        <v>0.33333333333333331</v>
      </c>
      <c r="D173" s="12">
        <v>8</v>
      </c>
      <c r="E173" s="12">
        <v>24</v>
      </c>
    </row>
    <row r="174" spans="1:5" x14ac:dyDescent="0.25">
      <c r="A174" s="12" t="s">
        <v>24</v>
      </c>
      <c r="B174" s="14">
        <v>44907</v>
      </c>
      <c r="C174" s="6">
        <v>0.36842105263157893</v>
      </c>
      <c r="D174" s="12">
        <v>7</v>
      </c>
      <c r="E174" s="12">
        <v>19</v>
      </c>
    </row>
    <row r="175" spans="1:5" x14ac:dyDescent="0.25">
      <c r="A175" s="12" t="s">
        <v>26</v>
      </c>
      <c r="B175" s="14">
        <v>44907</v>
      </c>
      <c r="C175" s="6">
        <v>0.42857142857142855</v>
      </c>
      <c r="D175" s="12">
        <v>3</v>
      </c>
      <c r="E175" s="12">
        <v>7</v>
      </c>
    </row>
    <row r="176" spans="1:5" x14ac:dyDescent="0.25">
      <c r="A176" s="12" t="s">
        <v>7</v>
      </c>
      <c r="B176" s="14">
        <v>44907</v>
      </c>
      <c r="C176" s="6">
        <v>0.76666666666666672</v>
      </c>
      <c r="D176" s="12">
        <v>23</v>
      </c>
      <c r="E176" s="12">
        <v>30</v>
      </c>
    </row>
    <row r="177" spans="1:5" x14ac:dyDescent="0.25">
      <c r="A177" s="12" t="s">
        <v>10</v>
      </c>
      <c r="B177" s="14">
        <v>44907</v>
      </c>
      <c r="C177" s="6">
        <v>0</v>
      </c>
      <c r="D177" s="12">
        <v>0</v>
      </c>
      <c r="E177" s="12">
        <v>4</v>
      </c>
    </row>
    <row r="178" spans="1:5" x14ac:dyDescent="0.25">
      <c r="A178" s="12" t="s">
        <v>3</v>
      </c>
      <c r="B178" s="14">
        <v>44914</v>
      </c>
      <c r="C178" s="6">
        <v>0.55555555555555558</v>
      </c>
      <c r="D178" s="12">
        <v>25</v>
      </c>
      <c r="E178" s="12">
        <v>45</v>
      </c>
    </row>
    <row r="179" spans="1:5" x14ac:dyDescent="0.25">
      <c r="A179" s="12" t="s">
        <v>18</v>
      </c>
      <c r="B179" s="14">
        <v>44914</v>
      </c>
      <c r="C179" s="6">
        <v>0.33333333333333331</v>
      </c>
      <c r="D179" s="12">
        <v>3</v>
      </c>
      <c r="E179" s="12">
        <v>9</v>
      </c>
    </row>
    <row r="180" spans="1:5" x14ac:dyDescent="0.25">
      <c r="A180" s="12" t="s">
        <v>16</v>
      </c>
      <c r="B180" s="14">
        <v>44914</v>
      </c>
      <c r="C180" s="6">
        <v>0.4358974358974359</v>
      </c>
      <c r="D180" s="12">
        <v>17</v>
      </c>
      <c r="E180" s="12">
        <v>39</v>
      </c>
    </row>
    <row r="181" spans="1:5" x14ac:dyDescent="0.25">
      <c r="A181" s="12" t="s">
        <v>22</v>
      </c>
      <c r="B181" s="14">
        <v>44914</v>
      </c>
      <c r="C181" s="6">
        <v>0.46153846153846156</v>
      </c>
      <c r="D181" s="12">
        <v>18</v>
      </c>
      <c r="E181" s="12">
        <v>39</v>
      </c>
    </row>
    <row r="182" spans="1:5" x14ac:dyDescent="0.25">
      <c r="A182" s="12" t="s">
        <v>4</v>
      </c>
      <c r="B182" s="14">
        <v>44914</v>
      </c>
      <c r="C182" s="6">
        <v>0.59183673469387754</v>
      </c>
      <c r="D182" s="12">
        <v>29</v>
      </c>
      <c r="E182" s="12">
        <v>49</v>
      </c>
    </row>
    <row r="183" spans="1:5" x14ac:dyDescent="0.25">
      <c r="A183" s="12" t="s">
        <v>6</v>
      </c>
      <c r="B183" s="14">
        <v>44914</v>
      </c>
      <c r="C183" s="6">
        <v>0.5714285714285714</v>
      </c>
      <c r="D183" s="12">
        <v>24</v>
      </c>
      <c r="E183" s="12">
        <v>42</v>
      </c>
    </row>
    <row r="184" spans="1:5" x14ac:dyDescent="0.25">
      <c r="A184" s="12" t="s">
        <v>5</v>
      </c>
      <c r="B184" s="14">
        <v>44914</v>
      </c>
      <c r="C184" s="6">
        <v>0.51063829787234039</v>
      </c>
      <c r="D184" s="12">
        <v>24</v>
      </c>
      <c r="E184" s="12">
        <v>47</v>
      </c>
    </row>
    <row r="185" spans="1:5" x14ac:dyDescent="0.25">
      <c r="A185" s="12" t="s">
        <v>8</v>
      </c>
      <c r="B185" s="14">
        <v>44914</v>
      </c>
      <c r="C185" s="6">
        <v>0.46666666666666667</v>
      </c>
      <c r="D185" s="12">
        <v>14</v>
      </c>
      <c r="E185" s="12">
        <v>30</v>
      </c>
    </row>
    <row r="186" spans="1:5" x14ac:dyDescent="0.25">
      <c r="A186" s="12" t="s">
        <v>12</v>
      </c>
      <c r="B186" s="14">
        <v>44914</v>
      </c>
      <c r="C186" s="6">
        <v>0.5</v>
      </c>
      <c r="D186" s="12">
        <v>24</v>
      </c>
      <c r="E186" s="12">
        <v>48</v>
      </c>
    </row>
    <row r="187" spans="1:5" x14ac:dyDescent="0.25">
      <c r="A187" s="12" t="s">
        <v>23</v>
      </c>
      <c r="B187" s="14">
        <v>44914</v>
      </c>
      <c r="C187" s="6">
        <v>0.41379310344827586</v>
      </c>
      <c r="D187" s="12">
        <v>12</v>
      </c>
      <c r="E187" s="12">
        <v>29</v>
      </c>
    </row>
    <row r="188" spans="1:5" x14ac:dyDescent="0.25">
      <c r="A188" s="12" t="s">
        <v>11</v>
      </c>
      <c r="B188" s="14">
        <v>44914</v>
      </c>
      <c r="C188" s="6">
        <v>0.57692307692307687</v>
      </c>
      <c r="D188" s="12">
        <v>15</v>
      </c>
      <c r="E188" s="12">
        <v>26</v>
      </c>
    </row>
    <row r="189" spans="1:5" x14ac:dyDescent="0.25">
      <c r="A189" s="12" t="s">
        <v>9</v>
      </c>
      <c r="B189" s="14">
        <v>44914</v>
      </c>
      <c r="C189" s="6">
        <v>0.33333333333333331</v>
      </c>
      <c r="D189" s="12">
        <v>8</v>
      </c>
      <c r="E189" s="12">
        <v>24</v>
      </c>
    </row>
    <row r="190" spans="1:5" x14ac:dyDescent="0.25">
      <c r="A190" s="12" t="s">
        <v>24</v>
      </c>
      <c r="B190" s="14">
        <v>44914</v>
      </c>
      <c r="C190" s="6">
        <v>0.36842105263157893</v>
      </c>
      <c r="D190" s="12">
        <v>7</v>
      </c>
      <c r="E190" s="12">
        <v>19</v>
      </c>
    </row>
    <row r="191" spans="1:5" x14ac:dyDescent="0.25">
      <c r="A191" s="12" t="s">
        <v>26</v>
      </c>
      <c r="B191" s="14">
        <v>44914</v>
      </c>
      <c r="C191" s="6">
        <v>0.42857142857142855</v>
      </c>
      <c r="D191" s="12">
        <v>3</v>
      </c>
      <c r="E191" s="12">
        <v>7</v>
      </c>
    </row>
    <row r="192" spans="1:5" x14ac:dyDescent="0.25">
      <c r="A192" s="12" t="s">
        <v>7</v>
      </c>
      <c r="B192" s="14">
        <v>44914</v>
      </c>
      <c r="C192" s="6">
        <v>0.73529411764705888</v>
      </c>
      <c r="D192" s="12">
        <v>25</v>
      </c>
      <c r="E192" s="12">
        <v>34</v>
      </c>
    </row>
    <row r="193" spans="1:5" x14ac:dyDescent="0.25">
      <c r="A193" s="12" t="s">
        <v>10</v>
      </c>
      <c r="B193" s="14">
        <v>44914</v>
      </c>
      <c r="C193" s="6">
        <v>0</v>
      </c>
      <c r="D193" s="12">
        <v>0</v>
      </c>
      <c r="E193" s="12">
        <v>4</v>
      </c>
    </row>
    <row r="194" spans="1:5" x14ac:dyDescent="0.25">
      <c r="A194" s="12" t="s">
        <v>3</v>
      </c>
      <c r="B194" s="14">
        <v>44921</v>
      </c>
      <c r="C194" s="6">
        <v>0.55555555555555558</v>
      </c>
      <c r="D194" s="12">
        <v>25</v>
      </c>
      <c r="E194" s="12">
        <v>45</v>
      </c>
    </row>
    <row r="195" spans="1:5" x14ac:dyDescent="0.25">
      <c r="A195" s="12" t="s">
        <v>18</v>
      </c>
      <c r="B195" s="14">
        <v>44921</v>
      </c>
      <c r="C195" s="6">
        <v>0.33333333333333331</v>
      </c>
      <c r="D195" s="12">
        <v>3</v>
      </c>
      <c r="E195" s="12">
        <v>9</v>
      </c>
    </row>
    <row r="196" spans="1:5" x14ac:dyDescent="0.25">
      <c r="A196" s="12" t="s">
        <v>16</v>
      </c>
      <c r="B196" s="14">
        <v>44921</v>
      </c>
      <c r="C196" s="6">
        <v>0.4358974358974359</v>
      </c>
      <c r="D196" s="12">
        <v>17</v>
      </c>
      <c r="E196" s="12">
        <v>39</v>
      </c>
    </row>
    <row r="197" spans="1:5" x14ac:dyDescent="0.25">
      <c r="A197" s="12" t="s">
        <v>22</v>
      </c>
      <c r="B197" s="14">
        <v>44921</v>
      </c>
      <c r="C197" s="6">
        <v>0.46153846153846156</v>
      </c>
      <c r="D197" s="12">
        <v>18</v>
      </c>
      <c r="E197" s="12">
        <v>39</v>
      </c>
    </row>
    <row r="198" spans="1:5" x14ac:dyDescent="0.25">
      <c r="A198" s="12" t="s">
        <v>4</v>
      </c>
      <c r="B198" s="14">
        <v>44921</v>
      </c>
      <c r="C198" s="6">
        <v>0.59183673469387754</v>
      </c>
      <c r="D198" s="12">
        <v>29</v>
      </c>
      <c r="E198" s="12">
        <v>49</v>
      </c>
    </row>
    <row r="199" spans="1:5" x14ac:dyDescent="0.25">
      <c r="A199" s="12" t="s">
        <v>6</v>
      </c>
      <c r="B199" s="14">
        <v>44921</v>
      </c>
      <c r="C199" s="6">
        <v>0.5714285714285714</v>
      </c>
      <c r="D199" s="12">
        <v>24</v>
      </c>
      <c r="E199" s="12">
        <v>42</v>
      </c>
    </row>
    <row r="200" spans="1:5" x14ac:dyDescent="0.25">
      <c r="A200" s="12" t="s">
        <v>5</v>
      </c>
      <c r="B200" s="14">
        <v>44921</v>
      </c>
      <c r="C200" s="6">
        <v>0.51063829787234039</v>
      </c>
      <c r="D200" s="12">
        <v>24</v>
      </c>
      <c r="E200" s="12">
        <v>47</v>
      </c>
    </row>
    <row r="201" spans="1:5" x14ac:dyDescent="0.25">
      <c r="A201" s="12" t="s">
        <v>8</v>
      </c>
      <c r="B201" s="14">
        <v>44921</v>
      </c>
      <c r="C201" s="6">
        <v>0.46666666666666667</v>
      </c>
      <c r="D201" s="12">
        <v>14</v>
      </c>
      <c r="E201" s="12">
        <v>30</v>
      </c>
    </row>
    <row r="202" spans="1:5" x14ac:dyDescent="0.25">
      <c r="A202" s="12" t="s">
        <v>12</v>
      </c>
      <c r="B202" s="14">
        <v>44921</v>
      </c>
      <c r="C202" s="6">
        <v>0.5</v>
      </c>
      <c r="D202" s="12">
        <v>24</v>
      </c>
      <c r="E202" s="12">
        <v>48</v>
      </c>
    </row>
    <row r="203" spans="1:5" x14ac:dyDescent="0.25">
      <c r="A203" s="12" t="s">
        <v>23</v>
      </c>
      <c r="B203" s="14">
        <v>44921</v>
      </c>
      <c r="C203" s="6">
        <v>0.41379310344827586</v>
      </c>
      <c r="D203" s="12">
        <v>12</v>
      </c>
      <c r="E203" s="12">
        <v>29</v>
      </c>
    </row>
    <row r="204" spans="1:5" x14ac:dyDescent="0.25">
      <c r="A204" s="12" t="s">
        <v>11</v>
      </c>
      <c r="B204" s="14">
        <v>44921</v>
      </c>
      <c r="C204" s="6">
        <v>0.57692307692307687</v>
      </c>
      <c r="D204" s="12">
        <v>15</v>
      </c>
      <c r="E204" s="12">
        <v>26</v>
      </c>
    </row>
    <row r="205" spans="1:5" x14ac:dyDescent="0.25">
      <c r="A205" s="12" t="s">
        <v>9</v>
      </c>
      <c r="B205" s="14">
        <v>44921</v>
      </c>
      <c r="C205" s="6">
        <v>0.33333333333333331</v>
      </c>
      <c r="D205" s="12">
        <v>8</v>
      </c>
      <c r="E205" s="12">
        <v>24</v>
      </c>
    </row>
    <row r="206" spans="1:5" x14ac:dyDescent="0.25">
      <c r="A206" s="12" t="s">
        <v>24</v>
      </c>
      <c r="B206" s="14">
        <v>44921</v>
      </c>
      <c r="C206" s="6">
        <v>0.36842105263157893</v>
      </c>
      <c r="D206" s="12">
        <v>7</v>
      </c>
      <c r="E206" s="12">
        <v>19</v>
      </c>
    </row>
    <row r="207" spans="1:5" x14ac:dyDescent="0.25">
      <c r="A207" s="12" t="s">
        <v>26</v>
      </c>
      <c r="B207" s="14">
        <v>44921</v>
      </c>
      <c r="C207" s="6">
        <v>0.42857142857142855</v>
      </c>
      <c r="D207" s="12">
        <v>3</v>
      </c>
      <c r="E207" s="12">
        <v>7</v>
      </c>
    </row>
    <row r="208" spans="1:5" x14ac:dyDescent="0.25">
      <c r="A208" s="12" t="s">
        <v>7</v>
      </c>
      <c r="B208" s="14">
        <v>44921</v>
      </c>
      <c r="C208" s="6">
        <v>0.73529411764705888</v>
      </c>
      <c r="D208" s="12">
        <v>25</v>
      </c>
      <c r="E208" s="12">
        <v>34</v>
      </c>
    </row>
    <row r="209" spans="1:5" x14ac:dyDescent="0.25">
      <c r="A209" s="12" t="s">
        <v>10</v>
      </c>
      <c r="B209" s="14">
        <v>44921</v>
      </c>
      <c r="C209" s="6">
        <v>0</v>
      </c>
      <c r="D209" s="12">
        <v>0</v>
      </c>
      <c r="E209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7" t="s">
        <v>1</v>
      </c>
      <c r="B1" s="17" t="s">
        <v>46</v>
      </c>
      <c r="C1" s="17" t="s">
        <v>27</v>
      </c>
      <c r="D1" s="18" t="s">
        <v>28</v>
      </c>
      <c r="E1" s="17" t="s">
        <v>47</v>
      </c>
      <c r="F1" s="17" t="s">
        <v>48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6</v>
      </c>
      <c r="C50" t="s">
        <v>3</v>
      </c>
      <c r="D50" s="6">
        <v>0.2</v>
      </c>
      <c r="E50">
        <v>1</v>
      </c>
      <c r="F50">
        <v>5</v>
      </c>
    </row>
    <row r="51" spans="1:6" x14ac:dyDescent="0.25">
      <c r="A51" t="s">
        <v>25</v>
      </c>
      <c r="B51">
        <v>6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6</v>
      </c>
      <c r="C52" t="s">
        <v>16</v>
      </c>
      <c r="D52" s="6">
        <v>0.16666666666666666</v>
      </c>
      <c r="E52">
        <v>1</v>
      </c>
      <c r="F52">
        <v>6</v>
      </c>
    </row>
    <row r="53" spans="1:6" x14ac:dyDescent="0.25">
      <c r="A53" t="s">
        <v>25</v>
      </c>
      <c r="B53">
        <v>6</v>
      </c>
      <c r="C53" t="s">
        <v>22</v>
      </c>
      <c r="D53" s="6">
        <v>0.5</v>
      </c>
      <c r="E53">
        <v>2</v>
      </c>
      <c r="F53">
        <v>4</v>
      </c>
    </row>
    <row r="54" spans="1:6" x14ac:dyDescent="0.25">
      <c r="A54" t="s">
        <v>25</v>
      </c>
      <c r="B54">
        <v>6</v>
      </c>
      <c r="C54" t="s">
        <v>4</v>
      </c>
      <c r="D54" s="6">
        <v>0.5</v>
      </c>
      <c r="E54">
        <v>3</v>
      </c>
      <c r="F54">
        <v>6</v>
      </c>
    </row>
    <row r="55" spans="1:6" x14ac:dyDescent="0.25">
      <c r="A55" t="s">
        <v>25</v>
      </c>
      <c r="B55">
        <v>6</v>
      </c>
      <c r="C55" t="s">
        <v>6</v>
      </c>
      <c r="D55" s="6">
        <v>1</v>
      </c>
      <c r="E55">
        <v>4</v>
      </c>
      <c r="F55">
        <v>4</v>
      </c>
    </row>
    <row r="56" spans="1:6" x14ac:dyDescent="0.25">
      <c r="A56" t="s">
        <v>25</v>
      </c>
      <c r="B56">
        <v>6</v>
      </c>
      <c r="C56" t="s">
        <v>5</v>
      </c>
      <c r="D56" s="6">
        <v>0.4</v>
      </c>
      <c r="E56">
        <v>2</v>
      </c>
      <c r="F56">
        <v>5</v>
      </c>
    </row>
    <row r="57" spans="1:6" x14ac:dyDescent="0.25">
      <c r="A57" t="s">
        <v>25</v>
      </c>
      <c r="B57">
        <v>6</v>
      </c>
      <c r="C57" t="s">
        <v>8</v>
      </c>
      <c r="D57" s="6">
        <v>0.6</v>
      </c>
      <c r="E57">
        <v>3</v>
      </c>
      <c r="F57">
        <v>5</v>
      </c>
    </row>
    <row r="58" spans="1:6" x14ac:dyDescent="0.25">
      <c r="A58" t="s">
        <v>25</v>
      </c>
      <c r="B58">
        <v>6</v>
      </c>
      <c r="C58" t="s">
        <v>12</v>
      </c>
      <c r="D58" s="6">
        <v>0.5</v>
      </c>
      <c r="E58">
        <v>3</v>
      </c>
      <c r="F58">
        <v>6</v>
      </c>
    </row>
    <row r="59" spans="1:6" x14ac:dyDescent="0.25">
      <c r="A59" t="s">
        <v>25</v>
      </c>
      <c r="B59">
        <v>6</v>
      </c>
      <c r="C59" t="s">
        <v>23</v>
      </c>
      <c r="D59" s="6">
        <v>0.5</v>
      </c>
      <c r="E59">
        <v>2</v>
      </c>
      <c r="F59">
        <v>4</v>
      </c>
    </row>
    <row r="60" spans="1:6" x14ac:dyDescent="0.25">
      <c r="A60" t="s">
        <v>25</v>
      </c>
      <c r="B60">
        <v>6</v>
      </c>
      <c r="C60" t="s">
        <v>11</v>
      </c>
      <c r="D60" s="6">
        <v>1</v>
      </c>
      <c r="E60">
        <v>2</v>
      </c>
      <c r="F60">
        <v>2</v>
      </c>
    </row>
    <row r="61" spans="1:6" x14ac:dyDescent="0.25">
      <c r="A61" t="s">
        <v>25</v>
      </c>
      <c r="B61">
        <v>6</v>
      </c>
      <c r="C61" t="s">
        <v>9</v>
      </c>
      <c r="D61" s="6">
        <v>0.33333333333333331</v>
      </c>
      <c r="E61">
        <v>1</v>
      </c>
      <c r="F61">
        <v>3</v>
      </c>
    </row>
    <row r="62" spans="1:6" x14ac:dyDescent="0.25">
      <c r="A62" t="s">
        <v>25</v>
      </c>
      <c r="B62">
        <v>6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6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6</v>
      </c>
      <c r="C64" t="s">
        <v>7</v>
      </c>
      <c r="D64" s="6">
        <v>0.5</v>
      </c>
      <c r="E64">
        <v>2</v>
      </c>
      <c r="F64">
        <v>4</v>
      </c>
    </row>
    <row r="65" spans="1:6" x14ac:dyDescent="0.25">
      <c r="A65" t="s">
        <v>25</v>
      </c>
      <c r="B65">
        <v>6</v>
      </c>
      <c r="C65" t="s">
        <v>10</v>
      </c>
    </row>
    <row r="66" spans="1:6" x14ac:dyDescent="0.25">
      <c r="A66" t="s">
        <v>13</v>
      </c>
      <c r="B66">
        <v>6</v>
      </c>
      <c r="C66" t="s">
        <v>3</v>
      </c>
      <c r="D66" s="6">
        <v>0.66666666666666663</v>
      </c>
      <c r="E66">
        <v>4</v>
      </c>
      <c r="F66">
        <v>6</v>
      </c>
    </row>
    <row r="67" spans="1:6" x14ac:dyDescent="0.25">
      <c r="A67" t="s">
        <v>13</v>
      </c>
      <c r="B67">
        <v>6</v>
      </c>
      <c r="C67" t="s">
        <v>18</v>
      </c>
    </row>
    <row r="68" spans="1:6" x14ac:dyDescent="0.25">
      <c r="A68" t="s">
        <v>13</v>
      </c>
      <c r="B68">
        <v>6</v>
      </c>
      <c r="C68" t="s">
        <v>16</v>
      </c>
      <c r="D68" s="6">
        <v>0.75</v>
      </c>
      <c r="E68">
        <v>3</v>
      </c>
      <c r="F68">
        <v>4</v>
      </c>
    </row>
    <row r="69" spans="1:6" x14ac:dyDescent="0.25">
      <c r="A69" t="s">
        <v>13</v>
      </c>
      <c r="B69">
        <v>6</v>
      </c>
      <c r="C69" t="s">
        <v>22</v>
      </c>
      <c r="D69" s="6">
        <v>0.5</v>
      </c>
      <c r="E69">
        <v>2</v>
      </c>
      <c r="F69">
        <v>4</v>
      </c>
    </row>
    <row r="70" spans="1:6" x14ac:dyDescent="0.25">
      <c r="A70" t="s">
        <v>13</v>
      </c>
      <c r="B70">
        <v>6</v>
      </c>
      <c r="C70" t="s">
        <v>4</v>
      </c>
      <c r="D70" s="6">
        <v>0.66666666666666663</v>
      </c>
      <c r="E70">
        <v>4</v>
      </c>
      <c r="F70">
        <v>6</v>
      </c>
    </row>
    <row r="71" spans="1:6" x14ac:dyDescent="0.25">
      <c r="A71" t="s">
        <v>13</v>
      </c>
      <c r="B71">
        <v>6</v>
      </c>
      <c r="C71" t="s">
        <v>6</v>
      </c>
      <c r="D71" s="6">
        <v>0.66666666666666663</v>
      </c>
      <c r="E71">
        <v>4</v>
      </c>
      <c r="F71">
        <v>6</v>
      </c>
    </row>
    <row r="72" spans="1:6" x14ac:dyDescent="0.25">
      <c r="A72" t="s">
        <v>13</v>
      </c>
      <c r="B72">
        <v>6</v>
      </c>
      <c r="C72" t="s">
        <v>5</v>
      </c>
      <c r="D72" s="6">
        <v>0.6</v>
      </c>
      <c r="E72">
        <v>3</v>
      </c>
      <c r="F72">
        <v>5</v>
      </c>
    </row>
    <row r="73" spans="1:6" x14ac:dyDescent="0.25">
      <c r="A73" t="s">
        <v>13</v>
      </c>
      <c r="B73">
        <v>6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6</v>
      </c>
      <c r="C74" t="s">
        <v>12</v>
      </c>
      <c r="D74" s="6">
        <v>0.2</v>
      </c>
      <c r="E74">
        <v>1</v>
      </c>
      <c r="F74">
        <v>5</v>
      </c>
    </row>
    <row r="75" spans="1:6" x14ac:dyDescent="0.25">
      <c r="A75" t="s">
        <v>13</v>
      </c>
      <c r="B75">
        <v>6</v>
      </c>
      <c r="C75" t="s">
        <v>23</v>
      </c>
      <c r="D75" s="6">
        <v>0.6</v>
      </c>
      <c r="E75">
        <v>3</v>
      </c>
      <c r="F75">
        <v>5</v>
      </c>
    </row>
    <row r="76" spans="1:6" x14ac:dyDescent="0.25">
      <c r="A76" t="s">
        <v>13</v>
      </c>
      <c r="B76">
        <v>6</v>
      </c>
      <c r="C76" t="s">
        <v>11</v>
      </c>
      <c r="D76" s="6">
        <v>0.4</v>
      </c>
      <c r="E76">
        <v>2</v>
      </c>
      <c r="F76">
        <v>5</v>
      </c>
    </row>
    <row r="77" spans="1:6" x14ac:dyDescent="0.25">
      <c r="A77" t="s">
        <v>13</v>
      </c>
      <c r="B77">
        <v>6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6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6</v>
      </c>
      <c r="C79" t="s">
        <v>26</v>
      </c>
    </row>
    <row r="80" spans="1:6" x14ac:dyDescent="0.25">
      <c r="A80" t="s">
        <v>13</v>
      </c>
      <c r="B80">
        <v>6</v>
      </c>
      <c r="C80" t="s">
        <v>7</v>
      </c>
      <c r="D80" s="6">
        <v>0.6</v>
      </c>
      <c r="E80">
        <v>3</v>
      </c>
      <c r="F80">
        <v>5</v>
      </c>
    </row>
    <row r="81" spans="1:6" x14ac:dyDescent="0.25">
      <c r="A81" t="s">
        <v>13</v>
      </c>
      <c r="B81">
        <v>6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6</v>
      </c>
      <c r="C82" t="s">
        <v>3</v>
      </c>
      <c r="D82" s="6">
        <v>0.4</v>
      </c>
      <c r="E82">
        <v>2</v>
      </c>
      <c r="F82">
        <v>5</v>
      </c>
    </row>
    <row r="83" spans="1:6" x14ac:dyDescent="0.25">
      <c r="A83" t="s">
        <v>19</v>
      </c>
      <c r="B83">
        <v>6</v>
      </c>
      <c r="C83" t="s">
        <v>18</v>
      </c>
    </row>
    <row r="84" spans="1:6" x14ac:dyDescent="0.25">
      <c r="A84" t="s">
        <v>19</v>
      </c>
      <c r="B84">
        <v>6</v>
      </c>
      <c r="C84" t="s">
        <v>16</v>
      </c>
      <c r="D84" s="6">
        <v>0.25</v>
      </c>
      <c r="E84">
        <v>1</v>
      </c>
      <c r="F84">
        <v>4</v>
      </c>
    </row>
    <row r="85" spans="1:6" x14ac:dyDescent="0.25">
      <c r="A85" t="s">
        <v>19</v>
      </c>
      <c r="B85">
        <v>6</v>
      </c>
      <c r="C85" t="s">
        <v>22</v>
      </c>
      <c r="D85" s="6">
        <v>0.66666666666666663</v>
      </c>
      <c r="E85">
        <v>4</v>
      </c>
      <c r="F85">
        <v>6</v>
      </c>
    </row>
    <row r="86" spans="1:6" x14ac:dyDescent="0.25">
      <c r="A86" t="s">
        <v>19</v>
      </c>
      <c r="B86">
        <v>6</v>
      </c>
      <c r="C86" t="s">
        <v>4</v>
      </c>
      <c r="D86" s="6">
        <v>0.6</v>
      </c>
      <c r="E86">
        <v>3</v>
      </c>
      <c r="F86">
        <v>5</v>
      </c>
    </row>
    <row r="87" spans="1:6" x14ac:dyDescent="0.25">
      <c r="A87" t="s">
        <v>19</v>
      </c>
      <c r="B87">
        <v>6</v>
      </c>
      <c r="C87" t="s">
        <v>6</v>
      </c>
      <c r="D87" s="6">
        <v>0.83333333333333337</v>
      </c>
      <c r="E87">
        <v>5</v>
      </c>
      <c r="F87">
        <v>6</v>
      </c>
    </row>
    <row r="88" spans="1:6" x14ac:dyDescent="0.25">
      <c r="A88" t="s">
        <v>19</v>
      </c>
      <c r="B88">
        <v>6</v>
      </c>
      <c r="C88" t="s">
        <v>5</v>
      </c>
      <c r="D88" s="6">
        <v>0.5</v>
      </c>
      <c r="E88">
        <v>3</v>
      </c>
      <c r="F88">
        <v>6</v>
      </c>
    </row>
    <row r="89" spans="1:6" x14ac:dyDescent="0.25">
      <c r="A89" t="s">
        <v>19</v>
      </c>
      <c r="B89">
        <v>6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6</v>
      </c>
      <c r="C90" t="s">
        <v>12</v>
      </c>
      <c r="D90" s="6">
        <v>0.5</v>
      </c>
      <c r="E90">
        <v>3</v>
      </c>
      <c r="F90">
        <v>6</v>
      </c>
    </row>
    <row r="91" spans="1:6" x14ac:dyDescent="0.25">
      <c r="A91" t="s">
        <v>19</v>
      </c>
      <c r="B91">
        <v>6</v>
      </c>
      <c r="C91" t="s">
        <v>23</v>
      </c>
      <c r="D91" s="6">
        <v>0.5</v>
      </c>
      <c r="E91">
        <v>1</v>
      </c>
      <c r="F91">
        <v>2</v>
      </c>
    </row>
    <row r="92" spans="1:6" x14ac:dyDescent="0.25">
      <c r="A92" t="s">
        <v>19</v>
      </c>
      <c r="B92">
        <v>6</v>
      </c>
      <c r="C92" t="s">
        <v>11</v>
      </c>
      <c r="D92" s="6">
        <v>1</v>
      </c>
      <c r="E92">
        <v>3</v>
      </c>
      <c r="F92">
        <v>3</v>
      </c>
    </row>
    <row r="93" spans="1:6" x14ac:dyDescent="0.25">
      <c r="A93" t="s">
        <v>19</v>
      </c>
      <c r="B93">
        <v>6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6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6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6</v>
      </c>
      <c r="C96" t="s">
        <v>7</v>
      </c>
      <c r="D96" s="6">
        <v>0.25</v>
      </c>
      <c r="E96">
        <v>1</v>
      </c>
      <c r="F96">
        <v>4</v>
      </c>
    </row>
    <row r="97" spans="1:6" x14ac:dyDescent="0.25">
      <c r="A97" t="s">
        <v>19</v>
      </c>
      <c r="B97">
        <v>6</v>
      </c>
      <c r="C97" t="s">
        <v>10</v>
      </c>
    </row>
    <row r="98" spans="1:6" x14ac:dyDescent="0.25">
      <c r="A98" t="s">
        <v>20</v>
      </c>
      <c r="B98">
        <v>6</v>
      </c>
      <c r="C98" t="s">
        <v>3</v>
      </c>
      <c r="D98" s="6">
        <v>0.66666666666666663</v>
      </c>
      <c r="E98">
        <v>4</v>
      </c>
      <c r="F98">
        <v>6</v>
      </c>
    </row>
    <row r="99" spans="1:6" x14ac:dyDescent="0.25">
      <c r="A99" t="s">
        <v>20</v>
      </c>
      <c r="B99">
        <v>6</v>
      </c>
      <c r="C99" t="s">
        <v>18</v>
      </c>
    </row>
    <row r="100" spans="1:6" x14ac:dyDescent="0.25">
      <c r="A100" t="s">
        <v>20</v>
      </c>
      <c r="B100">
        <v>6</v>
      </c>
      <c r="C100" t="s">
        <v>16</v>
      </c>
      <c r="D100" s="6">
        <v>0.25</v>
      </c>
      <c r="E100">
        <v>1</v>
      </c>
      <c r="F100">
        <v>4</v>
      </c>
    </row>
    <row r="101" spans="1:6" x14ac:dyDescent="0.25">
      <c r="A101" t="s">
        <v>20</v>
      </c>
      <c r="B101">
        <v>6</v>
      </c>
      <c r="C101" t="s">
        <v>22</v>
      </c>
      <c r="D101" s="6">
        <v>0.8</v>
      </c>
      <c r="E101">
        <v>4</v>
      </c>
      <c r="F101">
        <v>5</v>
      </c>
    </row>
    <row r="102" spans="1:6" x14ac:dyDescent="0.25">
      <c r="A102" t="s">
        <v>20</v>
      </c>
      <c r="B102">
        <v>6</v>
      </c>
      <c r="C102" t="s">
        <v>4</v>
      </c>
      <c r="D102" s="6">
        <v>0.5</v>
      </c>
      <c r="E102">
        <v>3</v>
      </c>
      <c r="F102">
        <v>6</v>
      </c>
    </row>
    <row r="103" spans="1:6" x14ac:dyDescent="0.25">
      <c r="A103" t="s">
        <v>20</v>
      </c>
      <c r="B103">
        <v>6</v>
      </c>
      <c r="C103" t="s">
        <v>6</v>
      </c>
      <c r="D103" s="6">
        <v>0.4</v>
      </c>
      <c r="E103">
        <v>2</v>
      </c>
      <c r="F103">
        <v>5</v>
      </c>
    </row>
    <row r="104" spans="1:6" x14ac:dyDescent="0.25">
      <c r="A104" t="s">
        <v>20</v>
      </c>
      <c r="B104">
        <v>6</v>
      </c>
      <c r="C104" t="s">
        <v>5</v>
      </c>
      <c r="D104" s="6">
        <v>0.4</v>
      </c>
      <c r="E104">
        <v>2</v>
      </c>
      <c r="F104">
        <v>5</v>
      </c>
    </row>
    <row r="105" spans="1:6" x14ac:dyDescent="0.25">
      <c r="A105" t="s">
        <v>20</v>
      </c>
      <c r="B105">
        <v>6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6</v>
      </c>
      <c r="C106" t="s">
        <v>12</v>
      </c>
      <c r="D106" s="6">
        <v>0.83333333333333337</v>
      </c>
      <c r="E106">
        <v>5</v>
      </c>
      <c r="F106">
        <v>6</v>
      </c>
    </row>
    <row r="107" spans="1:6" x14ac:dyDescent="0.25">
      <c r="A107" t="s">
        <v>20</v>
      </c>
      <c r="B107">
        <v>6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6</v>
      </c>
      <c r="C108" t="s">
        <v>11</v>
      </c>
      <c r="D108" s="6">
        <v>1</v>
      </c>
      <c r="E108">
        <v>3</v>
      </c>
      <c r="F108">
        <v>3</v>
      </c>
    </row>
    <row r="109" spans="1:6" x14ac:dyDescent="0.25">
      <c r="A109" t="s">
        <v>20</v>
      </c>
      <c r="B109">
        <v>6</v>
      </c>
      <c r="C109" t="s">
        <v>9</v>
      </c>
      <c r="D109" s="6">
        <v>0.33333333333333331</v>
      </c>
      <c r="E109">
        <v>1</v>
      </c>
      <c r="F109">
        <v>3</v>
      </c>
    </row>
    <row r="110" spans="1:6" x14ac:dyDescent="0.25">
      <c r="A110" t="s">
        <v>20</v>
      </c>
      <c r="B110">
        <v>6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6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6</v>
      </c>
      <c r="C112" t="s">
        <v>7</v>
      </c>
      <c r="D112" s="6">
        <v>1</v>
      </c>
      <c r="E112">
        <v>3</v>
      </c>
      <c r="F112">
        <v>3</v>
      </c>
    </row>
    <row r="113" spans="1:6" x14ac:dyDescent="0.25">
      <c r="A113" t="s">
        <v>20</v>
      </c>
      <c r="B113">
        <v>6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A2" sqref="A2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51</v>
      </c>
    </row>
    <row r="2" spans="1:1" x14ac:dyDescent="0.25">
      <c r="A2" s="25">
        <v>44923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Player-Cards</vt:lpstr>
      <vt:lpstr>Individual</vt:lpstr>
      <vt:lpstr>Synergy-Matchup</vt:lpstr>
      <vt:lpstr>Map_old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Melissa Wong</cp:lastModifiedBy>
  <dcterms:created xsi:type="dcterms:W3CDTF">2022-12-15T03:47:10Z</dcterms:created>
  <dcterms:modified xsi:type="dcterms:W3CDTF">2022-12-29T05:36:28Z</dcterms:modified>
</cp:coreProperties>
</file>